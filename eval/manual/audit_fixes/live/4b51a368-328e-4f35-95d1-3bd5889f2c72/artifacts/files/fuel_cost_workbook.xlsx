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" sheetId="1" state="visible" r:id="rId3"/>
    <sheet name="Inputs" sheetId="2" state="visible" r:id="rId4"/>
    <sheet name="Bands" sheetId="3" state="visible" r:id="rId5"/>
    <sheet name="Summary" sheetId="4" state="visible" r:id="rId6"/>
    <sheet name="Sources" sheetId="5" state="visible" r:id="rId7"/>
  </sheets>
  <definedNames>
    <definedName function="false" hidden="false" name="BandStart" vbProcedure="false">Inputs!$B$8</definedName>
    <definedName function="false" hidden="false" name="BandStep" vbProcedure="false">Inputs!$B$7</definedName>
    <definedName function="false" hidden="false" name="BasePrice" vbProcedure="false">Inputs!$B$5</definedName>
    <definedName function="false" hidden="false" name="FleetGallonsWeek" vbProcedure="false">Inputs!$B$10</definedName>
    <definedName function="false" hidden="false" name="FleetMilesWeek" vbProcedure="false">Inputs!$B$9</definedName>
    <definedName function="false" hidden="false" name="MilesPerWeek" vbProcedure="false">Inputs!$B$3</definedName>
    <definedName function="false" hidden="false" name="MPG" vbProcedure="false">Inputs!$B$4</definedName>
    <definedName function="false" hidden="false" name="Tractors" vbProcedure="false">Inputs!$B$2</definedName>
    <definedName function="false" hidden="false" name="Weeks" vbProcedure="false">Inputs!$B$6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<sst xmlns="http://schemas.openxmlformats.org/spreadsheetml/2006/main" count="120" uniqueCount="111">
  <si>
    <t xml:space="preserve">week_date</t>
  </si>
  <si>
    <t xml:space="preserve">price</t>
  </si>
  <si>
    <t xml:space="preserve">surcharge_per_mile</t>
  </si>
  <si>
    <t xml:space="preserve">fleet_gallons</t>
  </si>
  <si>
    <t xml:space="preserve">fleet_fuel_cost</t>
  </si>
  <si>
    <t xml:space="preserve">fuel_cost_per_mile</t>
  </si>
  <si>
    <t xml:space="preserve">TOTAL / AVERAGE</t>
  </si>
  <si>
    <t xml:space="preserve">Prices: EIA series EMD_EPD2D_PTE_R20_DPG, Midwest PADD 2 weekly retail on-highway diesel (proxy for Indiana), $/gal; typed from eia_prices.csv, retrieved 2026-10-16. Row 54: price, surcharge and fuel cost per mile are averages; gallons and fleet cost are 52-week sums.</t>
  </si>
  <si>
    <t xml:space="preserve">Input</t>
  </si>
  <si>
    <t xml:space="preserve">Value</t>
  </si>
  <si>
    <t xml:space="preserve">Name</t>
  </si>
  <si>
    <t xml:space="preserve">Source / note</t>
  </si>
  <si>
    <t xml:space="preserve">Tractors</t>
  </si>
  <si>
    <t xml:space="preserve">Given in task (35 Class 8 tractors)</t>
  </si>
  <si>
    <t xml:space="preserve">Miles per tractor per week</t>
  </si>
  <si>
    <t xml:space="preserve">MilesPerWeek</t>
  </si>
  <si>
    <t xml:space="preserve">Given in task</t>
  </si>
  <si>
    <t xml:space="preserve">Fuel economy (mpg)</t>
  </si>
  <si>
    <t xml:space="preserve">MPG</t>
  </si>
  <si>
    <t xml:space="preserve">Given in task (6.2 mpg)</t>
  </si>
  <si>
    <t xml:space="preserve">Base (peg) price, $/gal</t>
  </si>
  <si>
    <t xml:space="preserve">BasePrice</t>
  </si>
  <si>
    <t xml:space="preserve">Given in task ($1.25 base)</t>
  </si>
  <si>
    <t xml:space="preserve">Weeks in window</t>
  </si>
  <si>
    <t xml:space="preserve">Weeks</t>
  </si>
  <si>
    <t xml:space="preserve">Given in task (52 weeks)</t>
  </si>
  <si>
    <t xml:space="preserve">Band step, $/gal</t>
  </si>
  <si>
    <t xml:space="preserve">BandStep</t>
  </si>
  <si>
    <t xml:space="preserve">Given in task (5-cent bands)</t>
  </si>
  <si>
    <t xml:space="preserve">Band start, $/gal</t>
  </si>
  <si>
    <t xml:space="preserve">BandStart</t>
  </si>
  <si>
    <t xml:space="preserve">Given in task ($3.00 to $5.00)</t>
  </si>
  <si>
    <t xml:space="preserve">Fleet miles per week (derived)</t>
  </si>
  <si>
    <t xml:space="preserve">FleetMilesWeek</t>
  </si>
  <si>
    <t xml:space="preserve">35 x 2,300 = 80,500 miles</t>
  </si>
  <si>
    <t xml:space="preserve">Fleet gallons per week (derived)</t>
  </si>
  <si>
    <t xml:space="preserve">FleetGallonsWeek</t>
  </si>
  <si>
    <t xml:space="preserve">80,500 / 6.2 = 12,983.87 gallons</t>
  </si>
  <si>
    <t xml:space="preserve">Legend: blue = typed input (edit here); black = formula. All Weekly/Bands formulas read these named cells.</t>
  </si>
  <si>
    <t xml:space="preserve">Price series: EIA weekly retail on-highway diesel, all types, Midwest PADD 2, used as a proxy for Indiana (assumption).</t>
  </si>
  <si>
    <t xml:space="preserve">ATRI inputs (typed once; Summary links here)</t>
  </si>
  <si>
    <t xml:space="preserve">ATRI total marginal cost per mile, $ (2025 cost year)</t>
  </si>
  <si>
    <t xml:space="preserve">ATRI Operational Costs of Trucking 2026 Update (cost year 2025), released 15 July 2026; https://truckingresearch.org/about-atri/atri-research/operational-costs-of-trucking</t>
  </si>
  <si>
    <t xml:space="preserve">ATRI fuel cost per mile, $ (2025 cost year)</t>
  </si>
  <si>
    <t xml:space="preserve">lower_bound</t>
  </si>
  <si>
    <t xml:space="preserve">band_label</t>
  </si>
  <si>
    <t xml:space="preserve">$5.00 and above</t>
  </si>
  <si>
    <t xml:space="preserve">Surcharge computed at the band lower-bound price: ROUND((price - base)/mpg, 2). Assumption per working interpretation. The 0.001 in the label is a display offset only.</t>
  </si>
  <si>
    <t xml:space="preserve">Metric</t>
  </si>
  <si>
    <t xml:space="preserve">Note / source</t>
  </si>
  <si>
    <t xml:space="preserve">Count of Weekly price rows</t>
  </si>
  <si>
    <t xml:space="preserve">Window start (week_date)</t>
  </si>
  <si>
    <t xml:space="preserve">First Monday in Weekly</t>
  </si>
  <si>
    <t xml:space="preserve">Window end / latest week (week_date)</t>
  </si>
  <si>
    <t xml:space="preserve">Latest week in the saved EIA page (released 9/22/2026); newer releases not fetched</t>
  </si>
  <si>
    <t xml:space="preserve">Average price, $/gal</t>
  </si>
  <si>
    <t xml:space="preserve">EIA EMD_EPD2D_PTE_R20_DPG</t>
  </si>
  <si>
    <t xml:space="preserve">Highest weekly price, $/gal</t>
  </si>
  <si>
    <t xml:space="preserve">Highest week (date)</t>
  </si>
  <si>
    <t xml:space="preserve">INDEX/MATCH (first match)</t>
  </si>
  <si>
    <t xml:space="preserve">Lowest weekly price, $/gal</t>
  </si>
  <si>
    <t xml:space="preserve">Lowest week (date)</t>
  </si>
  <si>
    <t xml:space="preserve">Average surcharge, $/mile</t>
  </si>
  <si>
    <t xml:space="preserve">Mean of weekly rounded surcharges</t>
  </si>
  <si>
    <t xml:space="preserve">Highest surcharge, $/mile</t>
  </si>
  <si>
    <t xml:space="preserve">Lowest surcharge, $/mile</t>
  </si>
  <si>
    <t xml:space="preserve">Annual fleet gallons (52 weeks)</t>
  </si>
  <si>
    <t xml:space="preserve">Annual fleet fuel cost (52 weeks), $</t>
  </si>
  <si>
    <t xml:space="preserve">No discounts</t>
  </si>
  <si>
    <t xml:space="preserve">Average fuel cost per mile, $ (carrier, 52 wk)</t>
  </si>
  <si>
    <t xml:space="preserve">Annual fuel cost / (80,500 miles x 52) = avg price / 6.2</t>
  </si>
  <si>
    <t xml:space="preserve">ATRI An Analysis of the Operational Costs of Trucking: 2026 Update, released 15 July 2026; read from abstract (TRID) https://trid.trb.org/View/2727686 and https://truckingresearch.org/about-atri/atri-research/operational-costs-of-trucking; retrieved 2026-10-16</t>
  </si>
  <si>
    <t xml:space="preserve">Same source: 48.2 cents per mile; released 15 July 2026; retrieved 2026-10-16</t>
  </si>
  <si>
    <t xml:space="preserve">ATRI fuel share of marginal cost</t>
  </si>
  <si>
    <t xml:space="preserve">Derived: 0.482 / 2.336</t>
  </si>
  <si>
    <t xml:space="preserve">Carrier minus ATRI fuel cost per mile, $</t>
  </si>
  <si>
    <t xml:space="preserve">Positive = carrier above ATRI fuel benchmark</t>
  </si>
  <si>
    <t xml:space="preserve">Carrier / ATRI fuel cost per mile</t>
  </si>
  <si>
    <t xml:space="preserve">Ratio</t>
  </si>
  <si>
    <t xml:space="preserve">Carrier fuel cost per mile as share of ATRI total marginal cost</t>
  </si>
  <si>
    <t xml:space="preserve">Comparison only; ATRI total includes non-fuel costs</t>
  </si>
  <si>
    <t xml:space="preserve">Caveat: ATRI fuel cost reflects ATRI survey fuel prices and fleet mpg for cost year 2025 (not 6.2 mpg, not Midwest PADD 2 prices); carrier figure covers the 52 weeks to the latest week above.</t>
  </si>
  <si>
    <t xml:space="preserve">Item</t>
  </si>
  <si>
    <t xml:space="preserve">Detail</t>
  </si>
  <si>
    <t xml:space="preserve">EIA series ID</t>
  </si>
  <si>
    <t xml:space="preserve">EMD_EPD2D_PTE_R20_DPG</t>
  </si>
  <si>
    <t xml:space="preserve">EIA series name</t>
  </si>
  <si>
    <t xml:space="preserve">Weekly Midwest No 2 Diesel Retail Prices (Dollars per Gallon) - PADD 2 proxy for Indiana (assumption)</t>
  </si>
  <si>
    <t xml:space="preserve">EIA URL</t>
  </si>
  <si>
    <t xml:space="preserve">https://www.eia.gov/dnav/pet/hist/LeafHandler.ashx?n=PET&amp;s=EMD_EPD2D_PTE_R20_DPG&amp;f=W</t>
  </si>
  <si>
    <t xml:space="preserve">EIA retrieved date</t>
  </si>
  <si>
    <t xml:space="preserve">2026-10-16</t>
  </si>
  <si>
    <t xml:space="preserve">EIA page release date</t>
  </si>
  <si>
    <t xml:space="preserve">9/22/2026 (saved page); EIA summary page shows later releases 9/29/2026 and 10/6/2026 that were NOT fetched</t>
  </si>
  <si>
    <t xml:space="preserve">EIA window</t>
  </si>
  <si>
    <t xml:space="preserve">2025-09-29 to 2026-09-21 (52 Mondays)</t>
  </si>
  <si>
    <t xml:space="preserve">Indiana state series</t>
  </si>
  <si>
    <t xml:space="preserve">MISSING - none seen on the EIA pages read; Midwest PADD 2 used instead</t>
  </si>
  <si>
    <t xml:space="preserve">ATRI edition</t>
  </si>
  <si>
    <t xml:space="preserve">An Analysis of the Operational Costs of Trucking: 2026 Update (cost year 2025), released 15 July 2026</t>
  </si>
  <si>
    <t xml:space="preserve">ATRI URL (report page)</t>
  </si>
  <si>
    <t xml:space="preserve">https://truckingresearch.org/about-atri/atri-research/operational-costs-of-trucking</t>
  </si>
  <si>
    <t xml:space="preserve">ATRI URL (abstract)</t>
  </si>
  <si>
    <t xml:space="preserve">https://trid.trb.org/View/2727686</t>
  </si>
  <si>
    <t xml:space="preserve">ATRI URL (press release)</t>
  </si>
  <si>
    <t xml:space="preserve">https://truckingresearch.org/2026/07/new-atri-report-details-accelerating-costs-and-low-profitability-despite-cuts</t>
  </si>
  <si>
    <t xml:space="preserve">ATRI retrieved date</t>
  </si>
  <si>
    <t xml:space="preserve">ATRI figures</t>
  </si>
  <si>
    <t xml:space="preserve">Total $2.336/mile; fuel 48.2 cents/mile (2025); 2024: $2.26 and 48.1 cents. Full PDF not read.</t>
  </si>
  <si>
    <t xml:space="preserve">Fleet inputs</t>
  </si>
  <si>
    <t xml:space="preserve">Given in the task: 35 tractors, 2,300 miles/week, 6.2 mpg, $1.25 base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</si>
</sst>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yyyy\-mm\-dd"/>
    <numFmt numFmtId="166" formatCode="\$0.000"/>
    <numFmt numFmtId="167" formatCode="\$0.00"/>
    <numFmt numFmtId="168" formatCode="#,##0.00"/>
    <numFmt numFmtId="169" formatCode="\$#,##0.00"/>
    <numFmt numFmtId="170" formatCode="\$0.0000"/>
    <numFmt numFmtId="171" formatCode="0"/>
    <numFmt numFmtId="172" formatCode="0.0%"/>
    <numFmt numFmtId="173" formatCode="0.00\x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0"/>
    <col collapsed="false" customWidth="true" hidden="false" outlineLevel="0" max="3" min="3" style="1" width="20"/>
    <col collapsed="false" customWidth="true" hidden="false" outlineLevel="0" max="4" min="4" style="1" width="16"/>
    <col collapsed="false" customWidth="true" hidden="false" outlineLevel="0" max="6" min="5" style="1" width="18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true" outlineLevel="0" collapsed="false">
      <c r="A2" s="3" t="n">
        <v>45929</v>
      </c>
      <c r="B2" s="4" t="n">
        <v>3.731</v>
      </c>
      <c r="C2" s="5" t="n">
        <f aca="false">ROUND((B2-BasePrice)/MPG,2)</f>
        <v>0.4</v>
      </c>
      <c r="D2" s="6" t="n">
        <f aca="false">Tractors*MilesPerWeek/MPG</f>
        <v>12983.8709677419</v>
      </c>
      <c r="E2" s="7" t="n">
        <f aca="false">D2*B2</f>
        <v>48442.8225806452</v>
      </c>
      <c r="F2" s="8" t="n">
        <f aca="false">B2/MPG</f>
        <v>0.601774193548387</v>
      </c>
    </row>
    <row r="3" customFormat="false" ht="15" hidden="false" customHeight="true" outlineLevel="0" collapsed="false">
      <c r="A3" s="3" t="n">
        <v>45936</v>
      </c>
      <c r="B3" s="4" t="n">
        <v>3.67</v>
      </c>
      <c r="C3" s="5" t="n">
        <f aca="false">ROUND((B3-BasePrice)/MPG,2)</f>
        <v>0.39</v>
      </c>
      <c r="D3" s="6" t="n">
        <f aca="false">Tractors*MilesPerWeek/MPG</f>
        <v>12983.8709677419</v>
      </c>
      <c r="E3" s="7" t="n">
        <f aca="false">D3*B3</f>
        <v>47650.8064516129</v>
      </c>
      <c r="F3" s="8" t="n">
        <f aca="false">B3/MPG</f>
        <v>0.591935483870968</v>
      </c>
    </row>
    <row r="4" customFormat="false" ht="15" hidden="false" customHeight="true" outlineLevel="0" collapsed="false">
      <c r="A4" s="3" t="n">
        <v>45943</v>
      </c>
      <c r="B4" s="4" t="n">
        <v>3.606</v>
      </c>
      <c r="C4" s="5" t="n">
        <f aca="false">ROUND((B4-BasePrice)/MPG,2)</f>
        <v>0.38</v>
      </c>
      <c r="D4" s="6" t="n">
        <f aca="false">Tractors*MilesPerWeek/MPG</f>
        <v>12983.8709677419</v>
      </c>
      <c r="E4" s="7" t="n">
        <f aca="false">D4*B4</f>
        <v>46819.8387096774</v>
      </c>
      <c r="F4" s="8" t="n">
        <f aca="false">B4/MPG</f>
        <v>0.581612903225806</v>
      </c>
    </row>
    <row r="5" customFormat="false" ht="15" hidden="false" customHeight="true" outlineLevel="0" collapsed="false">
      <c r="A5" s="3" t="n">
        <v>45950</v>
      </c>
      <c r="B5" s="4" t="n">
        <v>3.564</v>
      </c>
      <c r="C5" s="5" t="n">
        <f aca="false">ROUND((B5-BasePrice)/MPG,2)</f>
        <v>0.37</v>
      </c>
      <c r="D5" s="6" t="n">
        <f aca="false">Tractors*MilesPerWeek/MPG</f>
        <v>12983.8709677419</v>
      </c>
      <c r="E5" s="7" t="n">
        <f aca="false">D5*B5</f>
        <v>46274.5161290323</v>
      </c>
      <c r="F5" s="8" t="n">
        <f aca="false">B5/MPG</f>
        <v>0.574838709677419</v>
      </c>
    </row>
    <row r="6" customFormat="false" ht="15" hidden="false" customHeight="true" outlineLevel="0" collapsed="false">
      <c r="A6" s="3" t="n">
        <v>45957</v>
      </c>
      <c r="B6" s="4" t="n">
        <v>3.715</v>
      </c>
      <c r="C6" s="5" t="n">
        <f aca="false">ROUND((B6-BasePrice)/MPG,2)</f>
        <v>0.4</v>
      </c>
      <c r="D6" s="6" t="n">
        <f aca="false">Tractors*MilesPerWeek/MPG</f>
        <v>12983.8709677419</v>
      </c>
      <c r="E6" s="7" t="n">
        <f aca="false">D6*B6</f>
        <v>48235.0806451613</v>
      </c>
      <c r="F6" s="8" t="n">
        <f aca="false">B6/MPG</f>
        <v>0.599193548387097</v>
      </c>
    </row>
    <row r="7" customFormat="false" ht="15" hidden="false" customHeight="true" outlineLevel="0" collapsed="false">
      <c r="A7" s="3" t="n">
        <v>45964</v>
      </c>
      <c r="B7" s="4" t="n">
        <v>3.773</v>
      </c>
      <c r="C7" s="5" t="n">
        <f aca="false">ROUND((B7-BasePrice)/MPG,2)</f>
        <v>0.41</v>
      </c>
      <c r="D7" s="6" t="n">
        <f aca="false">Tractors*MilesPerWeek/MPG</f>
        <v>12983.8709677419</v>
      </c>
      <c r="E7" s="7" t="n">
        <f aca="false">D7*B7</f>
        <v>48988.1451612903</v>
      </c>
      <c r="F7" s="8" t="n">
        <f aca="false">B7/MPG</f>
        <v>0.608548387096774</v>
      </c>
    </row>
    <row r="8" customFormat="false" ht="15" hidden="false" customHeight="true" outlineLevel="0" collapsed="false">
      <c r="A8" s="3" t="n">
        <v>45971</v>
      </c>
      <c r="B8" s="4" t="n">
        <v>3.891</v>
      </c>
      <c r="C8" s="5" t="n">
        <f aca="false">ROUND((B8-BasePrice)/MPG,2)</f>
        <v>0.43</v>
      </c>
      <c r="D8" s="6" t="n">
        <f aca="false">Tractors*MilesPerWeek/MPG</f>
        <v>12983.8709677419</v>
      </c>
      <c r="E8" s="7" t="n">
        <f aca="false">D8*B8</f>
        <v>50520.2419354839</v>
      </c>
      <c r="F8" s="8" t="n">
        <f aca="false">B8/MPG</f>
        <v>0.62758064516129</v>
      </c>
    </row>
    <row r="9" customFormat="false" ht="15" hidden="false" customHeight="true" outlineLevel="0" collapsed="false">
      <c r="A9" s="3" t="n">
        <v>45978</v>
      </c>
      <c r="B9" s="4" t="n">
        <v>3.913</v>
      </c>
      <c r="C9" s="5" t="n">
        <f aca="false">ROUND((B9-BasePrice)/MPG,2)</f>
        <v>0.43</v>
      </c>
      <c r="D9" s="6" t="n">
        <f aca="false">Tractors*MilesPerWeek/MPG</f>
        <v>12983.8709677419</v>
      </c>
      <c r="E9" s="7" t="n">
        <f aca="false">D9*B9</f>
        <v>50805.8870967742</v>
      </c>
      <c r="F9" s="8" t="n">
        <f aca="false">B9/MPG</f>
        <v>0.631129032258065</v>
      </c>
    </row>
    <row r="10" customFormat="false" ht="15" hidden="false" customHeight="true" outlineLevel="0" collapsed="false">
      <c r="A10" s="3" t="n">
        <v>45985</v>
      </c>
      <c r="B10" s="4" t="n">
        <v>3.85</v>
      </c>
      <c r="C10" s="5" t="n">
        <f aca="false">ROUND((B10-BasePrice)/MPG,2)</f>
        <v>0.42</v>
      </c>
      <c r="D10" s="6" t="n">
        <f aca="false">Tractors*MilesPerWeek/MPG</f>
        <v>12983.8709677419</v>
      </c>
      <c r="E10" s="7" t="n">
        <f aca="false">D10*B10</f>
        <v>49987.9032258065</v>
      </c>
      <c r="F10" s="8" t="n">
        <f aca="false">B10/MPG</f>
        <v>0.620967741935484</v>
      </c>
    </row>
    <row r="11" customFormat="false" ht="15" hidden="false" customHeight="true" outlineLevel="0" collapsed="false">
      <c r="A11" s="3" t="n">
        <v>45992</v>
      </c>
      <c r="B11" s="4" t="n">
        <v>3.755</v>
      </c>
      <c r="C11" s="5" t="n">
        <f aca="false">ROUND((B11-BasePrice)/MPG,2)</f>
        <v>0.4</v>
      </c>
      <c r="D11" s="6" t="n">
        <f aca="false">Tractors*MilesPerWeek/MPG</f>
        <v>12983.8709677419</v>
      </c>
      <c r="E11" s="7" t="n">
        <f aca="false">D11*B11</f>
        <v>48754.435483871</v>
      </c>
      <c r="F11" s="8" t="n">
        <f aca="false">B11/MPG</f>
        <v>0.605645161290323</v>
      </c>
    </row>
    <row r="12" customFormat="false" ht="15" hidden="false" customHeight="true" outlineLevel="0" collapsed="false">
      <c r="A12" s="3" t="n">
        <v>45999</v>
      </c>
      <c r="B12" s="4" t="n">
        <v>3.635</v>
      </c>
      <c r="C12" s="5" t="n">
        <f aca="false">ROUND((B12-BasePrice)/MPG,2)</f>
        <v>0.38</v>
      </c>
      <c r="D12" s="6" t="n">
        <f aca="false">Tractors*MilesPerWeek/MPG</f>
        <v>12983.8709677419</v>
      </c>
      <c r="E12" s="7" t="n">
        <f aca="false">D12*B12</f>
        <v>47196.3709677419</v>
      </c>
      <c r="F12" s="8" t="n">
        <f aca="false">B12/MPG</f>
        <v>0.586290322580645</v>
      </c>
    </row>
    <row r="13" customFormat="false" ht="15" hidden="false" customHeight="true" outlineLevel="0" collapsed="false">
      <c r="A13" s="3" t="n">
        <v>46006</v>
      </c>
      <c r="B13" s="4" t="n">
        <v>3.567</v>
      </c>
      <c r="C13" s="5" t="n">
        <f aca="false">ROUND((B13-BasePrice)/MPG,2)</f>
        <v>0.37</v>
      </c>
      <c r="D13" s="6" t="n">
        <f aca="false">Tractors*MilesPerWeek/MPG</f>
        <v>12983.8709677419</v>
      </c>
      <c r="E13" s="7" t="n">
        <f aca="false">D13*B13</f>
        <v>46313.4677419355</v>
      </c>
      <c r="F13" s="8" t="n">
        <f aca="false">B13/MPG</f>
        <v>0.575322580645161</v>
      </c>
    </row>
    <row r="14" customFormat="false" ht="15" hidden="false" customHeight="true" outlineLevel="0" collapsed="false">
      <c r="A14" s="3" t="n">
        <v>46013</v>
      </c>
      <c r="B14" s="4" t="n">
        <v>3.483</v>
      </c>
      <c r="C14" s="5" t="n">
        <f aca="false">ROUND((B14-BasePrice)/MPG,2)</f>
        <v>0.36</v>
      </c>
      <c r="D14" s="6" t="n">
        <f aca="false">Tractors*MilesPerWeek/MPG</f>
        <v>12983.8709677419</v>
      </c>
      <c r="E14" s="7" t="n">
        <f aca="false">D14*B14</f>
        <v>45222.8225806452</v>
      </c>
      <c r="F14" s="8" t="n">
        <f aca="false">B14/MPG</f>
        <v>0.561774193548387</v>
      </c>
    </row>
    <row r="15" customFormat="false" ht="15" hidden="false" customHeight="true" outlineLevel="0" collapsed="false">
      <c r="A15" s="3" t="n">
        <v>46020</v>
      </c>
      <c r="B15" s="4" t="n">
        <v>3.424</v>
      </c>
      <c r="C15" s="5" t="n">
        <f aca="false">ROUND((B15-BasePrice)/MPG,2)</f>
        <v>0.35</v>
      </c>
      <c r="D15" s="6" t="n">
        <f aca="false">Tractors*MilesPerWeek/MPG</f>
        <v>12983.8709677419</v>
      </c>
      <c r="E15" s="7" t="n">
        <f aca="false">D15*B15</f>
        <v>44456.7741935484</v>
      </c>
      <c r="F15" s="8" t="n">
        <f aca="false">B15/MPG</f>
        <v>0.552258064516129</v>
      </c>
    </row>
    <row r="16" customFormat="false" ht="15" hidden="false" customHeight="true" outlineLevel="0" collapsed="false">
      <c r="A16" s="3" t="n">
        <v>46027</v>
      </c>
      <c r="B16" s="4" t="n">
        <v>3.387</v>
      </c>
      <c r="C16" s="5" t="n">
        <f aca="false">ROUND((B16-BasePrice)/MPG,2)</f>
        <v>0.34</v>
      </c>
      <c r="D16" s="6" t="n">
        <f aca="false">Tractors*MilesPerWeek/MPG</f>
        <v>12983.8709677419</v>
      </c>
      <c r="E16" s="7" t="n">
        <f aca="false">D16*B16</f>
        <v>43976.3709677419</v>
      </c>
      <c r="F16" s="8" t="n">
        <f aca="false">B16/MPG</f>
        <v>0.546290322580645</v>
      </c>
    </row>
    <row r="17" customFormat="false" ht="15" hidden="false" customHeight="true" outlineLevel="0" collapsed="false">
      <c r="A17" s="3" t="n">
        <v>46034</v>
      </c>
      <c r="B17" s="4" t="n">
        <v>3.365</v>
      </c>
      <c r="C17" s="5" t="n">
        <f aca="false">ROUND((B17-BasePrice)/MPG,2)</f>
        <v>0.34</v>
      </c>
      <c r="D17" s="6" t="n">
        <f aca="false">Tractors*MilesPerWeek/MPG</f>
        <v>12983.8709677419</v>
      </c>
      <c r="E17" s="7" t="n">
        <f aca="false">D17*B17</f>
        <v>43690.7258064516</v>
      </c>
      <c r="F17" s="8" t="n">
        <f aca="false">B17/MPG</f>
        <v>0.542741935483871</v>
      </c>
    </row>
    <row r="18" customFormat="false" ht="15" hidden="false" customHeight="true" outlineLevel="0" collapsed="false">
      <c r="A18" s="3" t="n">
        <v>46041</v>
      </c>
      <c r="B18" s="4" t="n">
        <v>3.445</v>
      </c>
      <c r="C18" s="5" t="n">
        <f aca="false">ROUND((B18-BasePrice)/MPG,2)</f>
        <v>0.35</v>
      </c>
      <c r="D18" s="6" t="n">
        <f aca="false">Tractors*MilesPerWeek/MPG</f>
        <v>12983.8709677419</v>
      </c>
      <c r="E18" s="7" t="n">
        <f aca="false">D18*B18</f>
        <v>44729.435483871</v>
      </c>
      <c r="F18" s="8" t="n">
        <f aca="false">B18/MPG</f>
        <v>0.555645161290323</v>
      </c>
    </row>
    <row r="19" customFormat="false" ht="15" hidden="false" customHeight="true" outlineLevel="0" collapsed="false">
      <c r="A19" s="3" t="n">
        <v>46048</v>
      </c>
      <c r="B19" s="4" t="n">
        <v>3.579</v>
      </c>
      <c r="C19" s="5" t="n">
        <f aca="false">ROUND((B19-BasePrice)/MPG,2)</f>
        <v>0.38</v>
      </c>
      <c r="D19" s="6" t="n">
        <f aca="false">Tractors*MilesPerWeek/MPG</f>
        <v>12983.8709677419</v>
      </c>
      <c r="E19" s="7" t="n">
        <f aca="false">D19*B19</f>
        <v>46469.2741935484</v>
      </c>
      <c r="F19" s="8" t="n">
        <f aca="false">B19/MPG</f>
        <v>0.577258064516129</v>
      </c>
    </row>
    <row r="20" customFormat="false" ht="15" hidden="false" customHeight="true" outlineLevel="0" collapsed="false">
      <c r="A20" s="3" t="n">
        <v>46055</v>
      </c>
      <c r="B20" s="4" t="n">
        <v>3.625</v>
      </c>
      <c r="C20" s="5" t="n">
        <f aca="false">ROUND((B20-BasePrice)/MPG,2)</f>
        <v>0.38</v>
      </c>
      <c r="D20" s="6" t="n">
        <f aca="false">Tractors*MilesPerWeek/MPG</f>
        <v>12983.8709677419</v>
      </c>
      <c r="E20" s="7" t="n">
        <f aca="false">D20*B20</f>
        <v>47066.5322580645</v>
      </c>
      <c r="F20" s="8" t="n">
        <f aca="false">B20/MPG</f>
        <v>0.584677419354839</v>
      </c>
    </row>
    <row r="21" customFormat="false" ht="15" hidden="false" customHeight="true" outlineLevel="0" collapsed="false">
      <c r="A21" s="3" t="n">
        <v>46062</v>
      </c>
      <c r="B21" s="4" t="n">
        <v>3.636</v>
      </c>
      <c r="C21" s="5" t="n">
        <f aca="false">ROUND((B21-BasePrice)/MPG,2)</f>
        <v>0.38</v>
      </c>
      <c r="D21" s="6" t="n">
        <f aca="false">Tractors*MilesPerWeek/MPG</f>
        <v>12983.8709677419</v>
      </c>
      <c r="E21" s="7" t="n">
        <f aca="false">D21*B21</f>
        <v>47209.3548387097</v>
      </c>
      <c r="F21" s="8" t="n">
        <f aca="false">B21/MPG</f>
        <v>0.586451612903226</v>
      </c>
    </row>
    <row r="22" customFormat="false" ht="15" hidden="false" customHeight="true" outlineLevel="0" collapsed="false">
      <c r="A22" s="3" t="n">
        <v>46069</v>
      </c>
      <c r="B22" s="4" t="n">
        <v>3.664</v>
      </c>
      <c r="C22" s="5" t="n">
        <f aca="false">ROUND((B22-BasePrice)/MPG,2)</f>
        <v>0.39</v>
      </c>
      <c r="D22" s="6" t="n">
        <f aca="false">Tractors*MilesPerWeek/MPG</f>
        <v>12983.8709677419</v>
      </c>
      <c r="E22" s="7" t="n">
        <f aca="false">D22*B22</f>
        <v>47572.9032258065</v>
      </c>
      <c r="F22" s="8" t="n">
        <f aca="false">B22/MPG</f>
        <v>0.590967741935484</v>
      </c>
    </row>
    <row r="23" customFormat="false" ht="15" hidden="false" customHeight="true" outlineLevel="0" collapsed="false">
      <c r="A23" s="3" t="n">
        <v>46076</v>
      </c>
      <c r="B23" s="4" t="n">
        <v>3.798</v>
      </c>
      <c r="C23" s="5" t="n">
        <f aca="false">ROUND((B23-BasePrice)/MPG,2)</f>
        <v>0.41</v>
      </c>
      <c r="D23" s="6" t="n">
        <f aca="false">Tractors*MilesPerWeek/MPG</f>
        <v>12983.8709677419</v>
      </c>
      <c r="E23" s="7" t="n">
        <f aca="false">D23*B23</f>
        <v>49312.7419354839</v>
      </c>
      <c r="F23" s="8" t="n">
        <f aca="false">B23/MPG</f>
        <v>0.61258064516129</v>
      </c>
    </row>
    <row r="24" customFormat="false" ht="15" hidden="false" customHeight="true" outlineLevel="0" collapsed="false">
      <c r="A24" s="3" t="n">
        <v>46083</v>
      </c>
      <c r="B24" s="4" t="n">
        <v>3.888</v>
      </c>
      <c r="C24" s="5" t="n">
        <f aca="false">ROUND((B24-BasePrice)/MPG,2)</f>
        <v>0.43</v>
      </c>
      <c r="D24" s="6" t="n">
        <f aca="false">Tractors*MilesPerWeek/MPG</f>
        <v>12983.8709677419</v>
      </c>
      <c r="E24" s="7" t="n">
        <f aca="false">D24*B24</f>
        <v>50481.2903225806</v>
      </c>
      <c r="F24" s="8" t="n">
        <f aca="false">B24/MPG</f>
        <v>0.627096774193548</v>
      </c>
    </row>
    <row r="25" customFormat="false" ht="15" hidden="false" customHeight="true" outlineLevel="0" collapsed="false">
      <c r="A25" s="3" t="n">
        <v>46090</v>
      </c>
      <c r="B25" s="4" t="n">
        <v>4.801</v>
      </c>
      <c r="C25" s="5" t="n">
        <f aca="false">ROUND((B25-BasePrice)/MPG,2)</f>
        <v>0.57</v>
      </c>
      <c r="D25" s="6" t="n">
        <f aca="false">Tractors*MilesPerWeek/MPG</f>
        <v>12983.8709677419</v>
      </c>
      <c r="E25" s="7" t="n">
        <f aca="false">D25*B25</f>
        <v>62335.564516129</v>
      </c>
      <c r="F25" s="8" t="n">
        <f aca="false">B25/MPG</f>
        <v>0.774354838709678</v>
      </c>
    </row>
    <row r="26" customFormat="false" ht="15" hidden="false" customHeight="true" outlineLevel="0" collapsed="false">
      <c r="A26" s="3" t="n">
        <v>46097</v>
      </c>
      <c r="B26" s="4" t="n">
        <v>4.97</v>
      </c>
      <c r="C26" s="5" t="n">
        <f aca="false">ROUND((B26-BasePrice)/MPG,2)</f>
        <v>0.6</v>
      </c>
      <c r="D26" s="6" t="n">
        <f aca="false">Tractors*MilesPerWeek/MPG</f>
        <v>12983.8709677419</v>
      </c>
      <c r="E26" s="7" t="n">
        <f aca="false">D26*B26</f>
        <v>64529.8387096774</v>
      </c>
      <c r="F26" s="8" t="n">
        <f aca="false">B26/MPG</f>
        <v>0.801612903225806</v>
      </c>
    </row>
    <row r="27" customFormat="false" ht="15" hidden="false" customHeight="true" outlineLevel="0" collapsed="false">
      <c r="A27" s="3" t="n">
        <v>46104</v>
      </c>
      <c r="B27" s="4" t="n">
        <v>5.16</v>
      </c>
      <c r="C27" s="5" t="n">
        <f aca="false">ROUND((B27-BasePrice)/MPG,2)</f>
        <v>0.63</v>
      </c>
      <c r="D27" s="6" t="n">
        <f aca="false">Tractors*MilesPerWeek/MPG</f>
        <v>12983.8709677419</v>
      </c>
      <c r="E27" s="7" t="n">
        <f aca="false">D27*B27</f>
        <v>66996.7741935484</v>
      </c>
      <c r="F27" s="8" t="n">
        <f aca="false">B27/MPG</f>
        <v>0.832258064516129</v>
      </c>
    </row>
    <row r="28" customFormat="false" ht="15" hidden="false" customHeight="true" outlineLevel="0" collapsed="false">
      <c r="A28" s="3" t="n">
        <v>46111</v>
      </c>
      <c r="B28" s="4" t="n">
        <v>5.105</v>
      </c>
      <c r="C28" s="5" t="n">
        <f aca="false">ROUND((B28-BasePrice)/MPG,2)</f>
        <v>0.62</v>
      </c>
      <c r="D28" s="6" t="n">
        <f aca="false">Tractors*MilesPerWeek/MPG</f>
        <v>12983.8709677419</v>
      </c>
      <c r="E28" s="7" t="n">
        <f aca="false">D28*B28</f>
        <v>66282.6612903226</v>
      </c>
      <c r="F28" s="8" t="n">
        <f aca="false">B28/MPG</f>
        <v>0.823387096774194</v>
      </c>
    </row>
    <row r="29" customFormat="false" ht="15" hidden="false" customHeight="true" outlineLevel="0" collapsed="false">
      <c r="A29" s="3" t="n">
        <v>46118</v>
      </c>
      <c r="B29" s="4" t="n">
        <v>5.304</v>
      </c>
      <c r="C29" s="5" t="n">
        <f aca="false">ROUND((B29-BasePrice)/MPG,2)</f>
        <v>0.65</v>
      </c>
      <c r="D29" s="6" t="n">
        <f aca="false">Tractors*MilesPerWeek/MPG</f>
        <v>12983.8709677419</v>
      </c>
      <c r="E29" s="7" t="n">
        <f aca="false">D29*B29</f>
        <v>68866.4516129032</v>
      </c>
      <c r="F29" s="8" t="n">
        <f aca="false">B29/MPG</f>
        <v>0.855483870967742</v>
      </c>
    </row>
    <row r="30" customFormat="false" ht="15" hidden="false" customHeight="true" outlineLevel="0" collapsed="false">
      <c r="A30" s="3" t="n">
        <v>46125</v>
      </c>
      <c r="B30" s="4" t="n">
        <v>5.382</v>
      </c>
      <c r="C30" s="5" t="n">
        <f aca="false">ROUND((B30-BasePrice)/MPG,2)</f>
        <v>0.67</v>
      </c>
      <c r="D30" s="6" t="n">
        <f aca="false">Tractors*MilesPerWeek/MPG</f>
        <v>12983.8709677419</v>
      </c>
      <c r="E30" s="7" t="n">
        <f aca="false">D30*B30</f>
        <v>69879.1935483871</v>
      </c>
      <c r="F30" s="8" t="n">
        <f aca="false">B30/MPG</f>
        <v>0.868064516129032</v>
      </c>
    </row>
    <row r="31" customFormat="false" ht="15" hidden="false" customHeight="true" outlineLevel="0" collapsed="false">
      <c r="A31" s="3" t="n">
        <v>46132</v>
      </c>
      <c r="B31" s="4" t="n">
        <v>5.165</v>
      </c>
      <c r="C31" s="5" t="n">
        <f aca="false">ROUND((B31-BasePrice)/MPG,2)</f>
        <v>0.63</v>
      </c>
      <c r="D31" s="6" t="n">
        <f aca="false">Tractors*MilesPerWeek/MPG</f>
        <v>12983.8709677419</v>
      </c>
      <c r="E31" s="7" t="n">
        <f aca="false">D31*B31</f>
        <v>67061.6935483871</v>
      </c>
      <c r="F31" s="8" t="n">
        <f aca="false">B31/MPG</f>
        <v>0.833064516129032</v>
      </c>
    </row>
    <row r="32" customFormat="false" ht="15" hidden="false" customHeight="true" outlineLevel="0" collapsed="false">
      <c r="A32" s="3" t="n">
        <v>46139</v>
      </c>
      <c r="B32" s="4" t="n">
        <v>5.131</v>
      </c>
      <c r="C32" s="5" t="n">
        <f aca="false">ROUND((B32-BasePrice)/MPG,2)</f>
        <v>0.63</v>
      </c>
      <c r="D32" s="6" t="n">
        <f aca="false">Tractors*MilesPerWeek/MPG</f>
        <v>12983.8709677419</v>
      </c>
      <c r="E32" s="7" t="n">
        <f aca="false">D32*B32</f>
        <v>66620.2419354839</v>
      </c>
      <c r="F32" s="8" t="n">
        <f aca="false">B32/MPG</f>
        <v>0.82758064516129</v>
      </c>
    </row>
    <row r="33" customFormat="false" ht="15" hidden="false" customHeight="true" outlineLevel="0" collapsed="false">
      <c r="A33" s="3" t="n">
        <v>46146</v>
      </c>
      <c r="B33" s="4" t="n">
        <v>5.742</v>
      </c>
      <c r="C33" s="5" t="n">
        <f aca="false">ROUND((B33-BasePrice)/MPG,2)</f>
        <v>0.72</v>
      </c>
      <c r="D33" s="6" t="n">
        <f aca="false">Tractors*MilesPerWeek/MPG</f>
        <v>12983.8709677419</v>
      </c>
      <c r="E33" s="7" t="n">
        <f aca="false">D33*B33</f>
        <v>74553.3870967742</v>
      </c>
      <c r="F33" s="8" t="n">
        <f aca="false">B33/MPG</f>
        <v>0.926129032258065</v>
      </c>
    </row>
    <row r="34" customFormat="false" ht="15" hidden="false" customHeight="true" outlineLevel="0" collapsed="false">
      <c r="A34" s="3" t="n">
        <v>46153</v>
      </c>
      <c r="B34" s="4" t="n">
        <v>5.815</v>
      </c>
      <c r="C34" s="5" t="n">
        <f aca="false">ROUND((B34-BasePrice)/MPG,2)</f>
        <v>0.74</v>
      </c>
      <c r="D34" s="6" t="n">
        <f aca="false">Tractors*MilesPerWeek/MPG</f>
        <v>12983.8709677419</v>
      </c>
      <c r="E34" s="7" t="n">
        <f aca="false">D34*B34</f>
        <v>75501.2096774194</v>
      </c>
      <c r="F34" s="8" t="n">
        <f aca="false">B34/MPG</f>
        <v>0.937903225806452</v>
      </c>
    </row>
    <row r="35" customFormat="false" ht="15" hidden="false" customHeight="true" outlineLevel="0" collapsed="false">
      <c r="A35" s="3" t="n">
        <v>46160</v>
      </c>
      <c r="B35" s="4" t="n">
        <v>5.749</v>
      </c>
      <c r="C35" s="5" t="n">
        <f aca="false">ROUND((B35-BasePrice)/MPG,2)</f>
        <v>0.73</v>
      </c>
      <c r="D35" s="6" t="n">
        <f aca="false">Tractors*MilesPerWeek/MPG</f>
        <v>12983.8709677419</v>
      </c>
      <c r="E35" s="7" t="n">
        <f aca="false">D35*B35</f>
        <v>74644.2741935484</v>
      </c>
      <c r="F35" s="8" t="n">
        <f aca="false">B35/MPG</f>
        <v>0.927258064516129</v>
      </c>
    </row>
    <row r="36" customFormat="false" ht="15" hidden="false" customHeight="true" outlineLevel="0" collapsed="false">
      <c r="A36" s="3" t="n">
        <v>46167</v>
      </c>
      <c r="B36" s="4" t="n">
        <v>5.623</v>
      </c>
      <c r="C36" s="5" t="n">
        <f aca="false">ROUND((B36-BasePrice)/MPG,2)</f>
        <v>0.71</v>
      </c>
      <c r="D36" s="6" t="n">
        <f aca="false">Tractors*MilesPerWeek/MPG</f>
        <v>12983.8709677419</v>
      </c>
      <c r="E36" s="7" t="n">
        <f aca="false">D36*B36</f>
        <v>73008.3064516129</v>
      </c>
      <c r="F36" s="8" t="n">
        <f aca="false">B36/MPG</f>
        <v>0.906935483870968</v>
      </c>
    </row>
    <row r="37" customFormat="false" ht="15" hidden="false" customHeight="true" outlineLevel="0" collapsed="false">
      <c r="A37" s="3" t="n">
        <v>46174</v>
      </c>
      <c r="B37" s="4" t="n">
        <v>5.392</v>
      </c>
      <c r="C37" s="5" t="n">
        <f aca="false">ROUND((B37-BasePrice)/MPG,2)</f>
        <v>0.67</v>
      </c>
      <c r="D37" s="6" t="n">
        <f aca="false">Tractors*MilesPerWeek/MPG</f>
        <v>12983.8709677419</v>
      </c>
      <c r="E37" s="7" t="n">
        <f aca="false">D37*B37</f>
        <v>70009.0322580645</v>
      </c>
      <c r="F37" s="8" t="n">
        <f aca="false">B37/MPG</f>
        <v>0.869677419354839</v>
      </c>
    </row>
    <row r="38" customFormat="false" ht="15" hidden="false" customHeight="true" outlineLevel="0" collapsed="false">
      <c r="A38" s="3" t="n">
        <v>46181</v>
      </c>
      <c r="B38" s="4" t="n">
        <v>5.182</v>
      </c>
      <c r="C38" s="5" t="n">
        <f aca="false">ROUND((B38-BasePrice)/MPG,2)</f>
        <v>0.63</v>
      </c>
      <c r="D38" s="6" t="n">
        <f aca="false">Tractors*MilesPerWeek/MPG</f>
        <v>12983.8709677419</v>
      </c>
      <c r="E38" s="7" t="n">
        <f aca="false">D38*B38</f>
        <v>67282.4193548387</v>
      </c>
      <c r="F38" s="8" t="n">
        <f aca="false">B38/MPG</f>
        <v>0.835806451612903</v>
      </c>
    </row>
    <row r="39" customFormat="false" ht="15" hidden="false" customHeight="true" outlineLevel="0" collapsed="false">
      <c r="A39" s="3" t="n">
        <v>46188</v>
      </c>
      <c r="B39" s="4" t="n">
        <v>5.011</v>
      </c>
      <c r="C39" s="5" t="n">
        <f aca="false">ROUND((B39-BasePrice)/MPG,2)</f>
        <v>0.61</v>
      </c>
      <c r="D39" s="6" t="n">
        <f aca="false">Tractors*MilesPerWeek/MPG</f>
        <v>12983.8709677419</v>
      </c>
      <c r="E39" s="7" t="n">
        <f aca="false">D39*B39</f>
        <v>65062.1774193548</v>
      </c>
      <c r="F39" s="8" t="n">
        <f aca="false">B39/MPG</f>
        <v>0.808225806451613</v>
      </c>
    </row>
    <row r="40" customFormat="false" ht="15" hidden="false" customHeight="true" outlineLevel="0" collapsed="false">
      <c r="A40" s="3" t="n">
        <v>46195</v>
      </c>
      <c r="B40" s="4" t="n">
        <v>4.751</v>
      </c>
      <c r="C40" s="5" t="n">
        <f aca="false">ROUND((B40-BasePrice)/MPG,2)</f>
        <v>0.56</v>
      </c>
      <c r="D40" s="6" t="n">
        <f aca="false">Tractors*MilesPerWeek/MPG</f>
        <v>12983.8709677419</v>
      </c>
      <c r="E40" s="7" t="n">
        <f aca="false">D40*B40</f>
        <v>61686.3709677419</v>
      </c>
      <c r="F40" s="8" t="n">
        <f aca="false">B40/MPG</f>
        <v>0.766290322580645</v>
      </c>
    </row>
    <row r="41" customFormat="false" ht="15" hidden="false" customHeight="true" outlineLevel="0" collapsed="false">
      <c r="A41" s="3" t="n">
        <v>46202</v>
      </c>
      <c r="B41" s="4" t="n">
        <v>4.583</v>
      </c>
      <c r="C41" s="5" t="n">
        <f aca="false">ROUND((B41-BasePrice)/MPG,2)</f>
        <v>0.54</v>
      </c>
      <c r="D41" s="6" t="n">
        <f aca="false">Tractors*MilesPerWeek/MPG</f>
        <v>12983.8709677419</v>
      </c>
      <c r="E41" s="7" t="n">
        <f aca="false">D41*B41</f>
        <v>59505.0806451613</v>
      </c>
      <c r="F41" s="8" t="n">
        <f aca="false">B41/MPG</f>
        <v>0.739193548387097</v>
      </c>
    </row>
    <row r="42" customFormat="false" ht="15" hidden="false" customHeight="true" outlineLevel="0" collapsed="false">
      <c r="A42" s="3" t="n">
        <v>46209</v>
      </c>
      <c r="B42" s="4" t="n">
        <v>4.458</v>
      </c>
      <c r="C42" s="5" t="n">
        <f aca="false">ROUND((B42-BasePrice)/MPG,2)</f>
        <v>0.52</v>
      </c>
      <c r="D42" s="6" t="n">
        <f aca="false">Tractors*MilesPerWeek/MPG</f>
        <v>12983.8709677419</v>
      </c>
      <c r="E42" s="7" t="n">
        <f aca="false">D42*B42</f>
        <v>57882.0967741936</v>
      </c>
      <c r="F42" s="8" t="n">
        <f aca="false">B42/MPG</f>
        <v>0.719032258064516</v>
      </c>
    </row>
    <row r="43" customFormat="false" ht="15" hidden="false" customHeight="true" outlineLevel="0" collapsed="false">
      <c r="A43" s="3" t="n">
        <v>46216</v>
      </c>
      <c r="B43" s="4" t="n">
        <v>4.659</v>
      </c>
      <c r="C43" s="5" t="n">
        <f aca="false">ROUND((B43-BasePrice)/MPG,2)</f>
        <v>0.55</v>
      </c>
      <c r="D43" s="6" t="n">
        <f aca="false">Tractors*MilesPerWeek/MPG</f>
        <v>12983.8709677419</v>
      </c>
      <c r="E43" s="7" t="n">
        <f aca="false">D43*B43</f>
        <v>60491.8548387097</v>
      </c>
      <c r="F43" s="8" t="n">
        <f aca="false">B43/MPG</f>
        <v>0.751451612903226</v>
      </c>
    </row>
    <row r="44" customFormat="false" ht="15" hidden="false" customHeight="true" outlineLevel="0" collapsed="false">
      <c r="A44" s="3" t="n">
        <v>46223</v>
      </c>
      <c r="B44" s="4" t="n">
        <v>4.988</v>
      </c>
      <c r="C44" s="5" t="n">
        <f aca="false">ROUND((B44-BasePrice)/MPG,2)</f>
        <v>0.6</v>
      </c>
      <c r="D44" s="6" t="n">
        <f aca="false">Tractors*MilesPerWeek/MPG</f>
        <v>12983.8709677419</v>
      </c>
      <c r="E44" s="7" t="n">
        <f aca="false">D44*B44</f>
        <v>64763.5483870968</v>
      </c>
      <c r="F44" s="8" t="n">
        <f aca="false">B44/MPG</f>
        <v>0.804516129032258</v>
      </c>
    </row>
    <row r="45" customFormat="false" ht="15" hidden="false" customHeight="true" outlineLevel="0" collapsed="false">
      <c r="A45" s="3" t="n">
        <v>46230</v>
      </c>
      <c r="B45" s="4" t="n">
        <v>5.196</v>
      </c>
      <c r="C45" s="5" t="n">
        <f aca="false">ROUND((B45-BasePrice)/MPG,2)</f>
        <v>0.64</v>
      </c>
      <c r="D45" s="6" t="n">
        <f aca="false">Tractors*MilesPerWeek/MPG</f>
        <v>12983.8709677419</v>
      </c>
      <c r="E45" s="7" t="n">
        <f aca="false">D45*B45</f>
        <v>67464.1935483871</v>
      </c>
      <c r="F45" s="8" t="n">
        <f aca="false">B45/MPG</f>
        <v>0.838064516129032</v>
      </c>
    </row>
    <row r="46" customFormat="false" ht="15" hidden="false" customHeight="true" outlineLevel="0" collapsed="false">
      <c r="A46" s="3" t="n">
        <v>46237</v>
      </c>
      <c r="B46" s="4" t="n">
        <v>5.262</v>
      </c>
      <c r="C46" s="5" t="n">
        <f aca="false">ROUND((B46-BasePrice)/MPG,2)</f>
        <v>0.65</v>
      </c>
      <c r="D46" s="6" t="n">
        <f aca="false">Tractors*MilesPerWeek/MPG</f>
        <v>12983.8709677419</v>
      </c>
      <c r="E46" s="7" t="n">
        <f aca="false">D46*B46</f>
        <v>68321.1290322581</v>
      </c>
      <c r="F46" s="8" t="n">
        <f aca="false">B46/MPG</f>
        <v>0.848709677419355</v>
      </c>
    </row>
    <row r="47" customFormat="false" ht="15" hidden="false" customHeight="true" outlineLevel="0" collapsed="false">
      <c r="A47" s="3" t="n">
        <v>46244</v>
      </c>
      <c r="B47" s="4" t="n">
        <v>5.181</v>
      </c>
      <c r="C47" s="5" t="n">
        <f aca="false">ROUND((B47-BasePrice)/MPG,2)</f>
        <v>0.63</v>
      </c>
      <c r="D47" s="6" t="n">
        <f aca="false">Tractors*MilesPerWeek/MPG</f>
        <v>12983.8709677419</v>
      </c>
      <c r="E47" s="7" t="n">
        <f aca="false">D47*B47</f>
        <v>67269.435483871</v>
      </c>
      <c r="F47" s="8" t="n">
        <f aca="false">B47/MPG</f>
        <v>0.835645161290323</v>
      </c>
    </row>
    <row r="48" customFormat="false" ht="15" hidden="false" customHeight="true" outlineLevel="0" collapsed="false">
      <c r="A48" s="3" t="n">
        <v>46251</v>
      </c>
      <c r="B48" s="4" t="n">
        <v>5.435</v>
      </c>
      <c r="C48" s="5" t="n">
        <f aca="false">ROUND((B48-BasePrice)/MPG,2)</f>
        <v>0.68</v>
      </c>
      <c r="D48" s="6" t="n">
        <f aca="false">Tractors*MilesPerWeek/MPG</f>
        <v>12983.8709677419</v>
      </c>
      <c r="E48" s="7" t="n">
        <f aca="false">D48*B48</f>
        <v>70567.3387096774</v>
      </c>
      <c r="F48" s="8" t="n">
        <f aca="false">B48/MPG</f>
        <v>0.876612903225806</v>
      </c>
    </row>
    <row r="49" customFormat="false" ht="15" hidden="false" customHeight="true" outlineLevel="0" collapsed="false">
      <c r="A49" s="3" t="n">
        <v>46258</v>
      </c>
      <c r="B49" s="4" t="n">
        <v>5.636</v>
      </c>
      <c r="C49" s="5" t="n">
        <f aca="false">ROUND((B49-BasePrice)/MPG,2)</f>
        <v>0.71</v>
      </c>
      <c r="D49" s="6" t="n">
        <f aca="false">Tractors*MilesPerWeek/MPG</f>
        <v>12983.8709677419</v>
      </c>
      <c r="E49" s="7" t="n">
        <f aca="false">D49*B49</f>
        <v>73177.0967741936</v>
      </c>
      <c r="F49" s="8" t="n">
        <f aca="false">B49/MPG</f>
        <v>0.909032258064516</v>
      </c>
    </row>
    <row r="50" customFormat="false" ht="15" hidden="false" customHeight="true" outlineLevel="0" collapsed="false">
      <c r="A50" s="3" t="n">
        <v>46265</v>
      </c>
      <c r="B50" s="4" t="n">
        <v>5.571</v>
      </c>
      <c r="C50" s="5" t="n">
        <f aca="false">ROUND((B50-BasePrice)/MPG,2)</f>
        <v>0.7</v>
      </c>
      <c r="D50" s="6" t="n">
        <f aca="false">Tractors*MilesPerWeek/MPG</f>
        <v>12983.8709677419</v>
      </c>
      <c r="E50" s="7" t="n">
        <f aca="false">D50*B50</f>
        <v>72333.1451612903</v>
      </c>
      <c r="F50" s="8" t="n">
        <f aca="false">B50/MPG</f>
        <v>0.898548387096774</v>
      </c>
    </row>
    <row r="51" customFormat="false" ht="15" hidden="false" customHeight="true" outlineLevel="0" collapsed="false">
      <c r="A51" s="3" t="n">
        <v>46272</v>
      </c>
      <c r="B51" s="4" t="n">
        <v>5.946</v>
      </c>
      <c r="C51" s="5" t="n">
        <f aca="false">ROUND((B51-BasePrice)/MPG,2)</f>
        <v>0.76</v>
      </c>
      <c r="D51" s="6" t="n">
        <f aca="false">Tractors*MilesPerWeek/MPG</f>
        <v>12983.8709677419</v>
      </c>
      <c r="E51" s="7" t="n">
        <f aca="false">D51*B51</f>
        <v>77202.0967741936</v>
      </c>
      <c r="F51" s="8" t="n">
        <f aca="false">B51/MPG</f>
        <v>0.959032258064516</v>
      </c>
    </row>
    <row r="52" customFormat="false" ht="15" hidden="false" customHeight="true" outlineLevel="0" collapsed="false">
      <c r="A52" s="3" t="n">
        <v>46279</v>
      </c>
      <c r="B52" s="4" t="n">
        <v>6.25</v>
      </c>
      <c r="C52" s="5" t="n">
        <f aca="false">ROUND((B52-BasePrice)/MPG,2)</f>
        <v>0.81</v>
      </c>
      <c r="D52" s="6" t="n">
        <f aca="false">Tractors*MilesPerWeek/MPG</f>
        <v>12983.8709677419</v>
      </c>
      <c r="E52" s="7" t="n">
        <f aca="false">D52*B52</f>
        <v>81149.1935483871</v>
      </c>
      <c r="F52" s="8" t="n">
        <f aca="false">B52/MPG</f>
        <v>1.00806451612903</v>
      </c>
    </row>
    <row r="53" customFormat="false" ht="15" hidden="false" customHeight="true" outlineLevel="0" collapsed="false">
      <c r="A53" s="3" t="n">
        <v>46286</v>
      </c>
      <c r="B53" s="4" t="n">
        <v>6.68</v>
      </c>
      <c r="C53" s="5" t="n">
        <f aca="false">ROUND((B53-BasePrice)/MPG,2)</f>
        <v>0.88</v>
      </c>
      <c r="D53" s="6" t="n">
        <f aca="false">Tractors*MilesPerWeek/MPG</f>
        <v>12983.8709677419</v>
      </c>
      <c r="E53" s="7" t="n">
        <f aca="false">D53*B53</f>
        <v>86732.2580645161</v>
      </c>
      <c r="F53" s="8" t="n">
        <f aca="false">B53/MPG</f>
        <v>1.07741935483871</v>
      </c>
    </row>
    <row r="54" customFormat="false" ht="15" hidden="false" customHeight="true" outlineLevel="0" collapsed="false">
      <c r="A54" s="9" t="s">
        <v>6</v>
      </c>
      <c r="B54" s="10" t="n">
        <f aca="false">AVERAGE(B2:B53)</f>
        <v>4.57869230769231</v>
      </c>
      <c r="C54" s="11" t="n">
        <f aca="false">AVERAGE(C2:C53)</f>
        <v>0.537115384615385</v>
      </c>
      <c r="D54" s="12" t="n">
        <f aca="false">SUM(D2:D53)</f>
        <v>675161.290322581</v>
      </c>
      <c r="E54" s="13" t="n">
        <f aca="false">SUM(E2:E53)</f>
        <v>3091355.80645161</v>
      </c>
      <c r="F54" s="11" t="n">
        <f aca="false">AVERAGE(F2:F53)</f>
        <v>0.738498759305211</v>
      </c>
    </row>
    <row r="56" customFormat="false" ht="15" hidden="false" customHeight="true" outlineLevel="0" collapsed="false">
      <c r="A56" s="14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52"/>
  </cols>
  <sheetData>
    <row r="1" customFormat="false" ht="15" hidden="false" customHeight="true" outlineLevel="0" collapsed="false">
      <c r="A1" s="2" t="s">
        <v>8</v>
      </c>
      <c r="B1" s="2" t="s">
        <v>9</v>
      </c>
      <c r="C1" s="2" t="s">
        <v>10</v>
      </c>
      <c r="D1" s="2" t="s">
        <v>11</v>
      </c>
    </row>
    <row r="2" customFormat="false" ht="15" hidden="false" customHeight="true" outlineLevel="0" collapsed="false">
      <c r="A2" s="14" t="s">
        <v>12</v>
      </c>
      <c r="B2" s="15" t="n">
        <v>35</v>
      </c>
      <c r="C2" s="14" t="s">
        <v>12</v>
      </c>
      <c r="D2" s="14" t="s">
        <v>13</v>
      </c>
    </row>
    <row r="3" customFormat="false" ht="15" hidden="false" customHeight="true" outlineLevel="0" collapsed="false">
      <c r="A3" s="14" t="s">
        <v>14</v>
      </c>
      <c r="B3" s="15" t="n">
        <v>2300</v>
      </c>
      <c r="C3" s="14" t="s">
        <v>15</v>
      </c>
      <c r="D3" s="14" t="s">
        <v>16</v>
      </c>
    </row>
    <row r="4" customFormat="false" ht="15" hidden="false" customHeight="true" outlineLevel="0" collapsed="false">
      <c r="A4" s="14" t="s">
        <v>17</v>
      </c>
      <c r="B4" s="15" t="n">
        <v>6.2</v>
      </c>
      <c r="C4" s="14" t="s">
        <v>18</v>
      </c>
      <c r="D4" s="14" t="s">
        <v>19</v>
      </c>
    </row>
    <row r="5" customFormat="false" ht="15" hidden="false" customHeight="true" outlineLevel="0" collapsed="false">
      <c r="A5" s="14" t="s">
        <v>20</v>
      </c>
      <c r="B5" s="15" t="n">
        <v>1.25</v>
      </c>
      <c r="C5" s="14" t="s">
        <v>21</v>
      </c>
      <c r="D5" s="14" t="s">
        <v>22</v>
      </c>
    </row>
    <row r="6" customFormat="false" ht="15" hidden="false" customHeight="true" outlineLevel="0" collapsed="false">
      <c r="A6" s="14" t="s">
        <v>23</v>
      </c>
      <c r="B6" s="15" t="n">
        <v>52</v>
      </c>
      <c r="C6" s="14" t="s">
        <v>24</v>
      </c>
      <c r="D6" s="14" t="s">
        <v>25</v>
      </c>
    </row>
    <row r="7" customFormat="false" ht="15" hidden="false" customHeight="true" outlineLevel="0" collapsed="false">
      <c r="A7" s="14" t="s">
        <v>26</v>
      </c>
      <c r="B7" s="15" t="n">
        <v>0.05</v>
      </c>
      <c r="C7" s="14" t="s">
        <v>27</v>
      </c>
      <c r="D7" s="14" t="s">
        <v>28</v>
      </c>
    </row>
    <row r="8" customFormat="false" ht="15" hidden="false" customHeight="true" outlineLevel="0" collapsed="false">
      <c r="A8" s="14" t="s">
        <v>29</v>
      </c>
      <c r="B8" s="15" t="n">
        <v>3</v>
      </c>
      <c r="C8" s="14" t="s">
        <v>30</v>
      </c>
      <c r="D8" s="14" t="s">
        <v>31</v>
      </c>
    </row>
    <row r="9" customFormat="false" ht="15" hidden="false" customHeight="true" outlineLevel="0" collapsed="false">
      <c r="A9" s="14" t="s">
        <v>32</v>
      </c>
      <c r="B9" s="14" t="n">
        <f aca="false">Tractors*MilesPerWeek</f>
        <v>80500</v>
      </c>
      <c r="C9" s="14" t="s">
        <v>33</v>
      </c>
      <c r="D9" s="14" t="s">
        <v>34</v>
      </c>
    </row>
    <row r="10" customFormat="false" ht="15" hidden="false" customHeight="true" outlineLevel="0" collapsed="false">
      <c r="A10" s="14" t="s">
        <v>35</v>
      </c>
      <c r="B10" s="14" t="n">
        <f aca="false">FleetMilesWeek/MPG</f>
        <v>12983.8709677419</v>
      </c>
      <c r="C10" s="14" t="s">
        <v>36</v>
      </c>
      <c r="D10" s="14" t="s">
        <v>37</v>
      </c>
    </row>
    <row r="12" customFormat="false" ht="15" hidden="false" customHeight="true" outlineLevel="0" collapsed="false">
      <c r="A12" s="14" t="s">
        <v>38</v>
      </c>
    </row>
    <row r="13" customFormat="false" ht="15" hidden="false" customHeight="true" outlineLevel="0" collapsed="false">
      <c r="A13" s="14" t="s">
        <v>39</v>
      </c>
    </row>
    <row r="15" customFormat="false" ht="15" hidden="false" customHeight="false" outlineLevel="0" collapsed="false">
      <c r="A15" s="16" t="s">
        <v>40</v>
      </c>
    </row>
    <row r="16" customFormat="false" ht="15" hidden="false" customHeight="false" outlineLevel="0" collapsed="false">
      <c r="A16" s="1" t="s">
        <v>41</v>
      </c>
      <c r="B16" s="17" t="n">
        <v>2.336</v>
      </c>
      <c r="C16" s="1" t="s">
        <v>42</v>
      </c>
    </row>
    <row r="17" customFormat="false" ht="15" hidden="false" customHeight="false" outlineLevel="0" collapsed="false">
      <c r="A17" s="1" t="s">
        <v>43</v>
      </c>
      <c r="B17" s="17" t="n">
        <v>0.482</v>
      </c>
      <c r="C17" s="1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20"/>
  </cols>
  <sheetData>
    <row r="1" customFormat="false" ht="15" hidden="false" customHeight="true" outlineLevel="0" collapsed="false">
      <c r="A1" s="2" t="s">
        <v>44</v>
      </c>
      <c r="B1" s="2" t="s">
        <v>45</v>
      </c>
      <c r="C1" s="2" t="s">
        <v>2</v>
      </c>
    </row>
    <row r="2" customFormat="false" ht="15" hidden="false" customHeight="true" outlineLevel="0" collapsed="false">
      <c r="A2" s="5" t="n">
        <f aca="false">BandStart</f>
        <v>3</v>
      </c>
      <c r="B2" s="14" t="str">
        <f aca="false">"$"&amp;TEXT(A2,"0.00")&amp;"-"&amp;TEXT(A2+BandStep-0.001,"0.000")</f>
        <v>$3.00-3.049</v>
      </c>
      <c r="C2" s="5" t="n">
        <f aca="false">ROUND((A2-BasePrice)/MPG,2)</f>
        <v>0.28</v>
      </c>
    </row>
    <row r="3" customFormat="false" ht="15" hidden="false" customHeight="true" outlineLevel="0" collapsed="false">
      <c r="A3" s="5" t="n">
        <f aca="false">ROUND(A2+BandStep,2)</f>
        <v>3.05</v>
      </c>
      <c r="B3" s="14" t="str">
        <f aca="false">"$"&amp;TEXT(A3,"0.00")&amp;"-"&amp;TEXT(A3+BandStep-0.001,"0.000")</f>
        <v>$3.05-3.099</v>
      </c>
      <c r="C3" s="5" t="n">
        <f aca="false">ROUND((A3-BasePrice)/MPG,2)</f>
        <v>0.29</v>
      </c>
    </row>
    <row r="4" customFormat="false" ht="15" hidden="false" customHeight="true" outlineLevel="0" collapsed="false">
      <c r="A4" s="5" t="n">
        <f aca="false">ROUND(A3+BandStep,2)</f>
        <v>3.1</v>
      </c>
      <c r="B4" s="14" t="str">
        <f aca="false">"$"&amp;TEXT(A4,"0.00")&amp;"-"&amp;TEXT(A4+BandStep-0.001,"0.000")</f>
        <v>$3.10-3.149</v>
      </c>
      <c r="C4" s="5" t="n">
        <f aca="false">ROUND((A4-BasePrice)/MPG,2)</f>
        <v>0.3</v>
      </c>
    </row>
    <row r="5" customFormat="false" ht="15" hidden="false" customHeight="true" outlineLevel="0" collapsed="false">
      <c r="A5" s="5" t="n">
        <f aca="false">ROUND(A4+BandStep,2)</f>
        <v>3.15</v>
      </c>
      <c r="B5" s="14" t="str">
        <f aca="false">"$"&amp;TEXT(A5,"0.00")&amp;"-"&amp;TEXT(A5+BandStep-0.001,"0.000")</f>
        <v>$3.15-3.199</v>
      </c>
      <c r="C5" s="5" t="n">
        <f aca="false">ROUND((A5-BasePrice)/MPG,2)</f>
        <v>0.31</v>
      </c>
    </row>
    <row r="6" customFormat="false" ht="15" hidden="false" customHeight="true" outlineLevel="0" collapsed="false">
      <c r="A6" s="5" t="n">
        <f aca="false">ROUND(A5+BandStep,2)</f>
        <v>3.2</v>
      </c>
      <c r="B6" s="14" t="str">
        <f aca="false">"$"&amp;TEXT(A6,"0.00")&amp;"-"&amp;TEXT(A6+BandStep-0.001,"0.000")</f>
        <v>$3.20-3.249</v>
      </c>
      <c r="C6" s="5" t="n">
        <f aca="false">ROUND((A6-BasePrice)/MPG,2)</f>
        <v>0.31</v>
      </c>
    </row>
    <row r="7" customFormat="false" ht="15" hidden="false" customHeight="true" outlineLevel="0" collapsed="false">
      <c r="A7" s="5" t="n">
        <f aca="false">ROUND(A6+BandStep,2)</f>
        <v>3.25</v>
      </c>
      <c r="B7" s="14" t="str">
        <f aca="false">"$"&amp;TEXT(A7,"0.00")&amp;"-"&amp;TEXT(A7+BandStep-0.001,"0.000")</f>
        <v>$3.25-3.299</v>
      </c>
      <c r="C7" s="5" t="n">
        <f aca="false">ROUND((A7-BasePrice)/MPG,2)</f>
        <v>0.32</v>
      </c>
    </row>
    <row r="8" customFormat="false" ht="15" hidden="false" customHeight="true" outlineLevel="0" collapsed="false">
      <c r="A8" s="5" t="n">
        <f aca="false">ROUND(A7+BandStep,2)</f>
        <v>3.3</v>
      </c>
      <c r="B8" s="14" t="str">
        <f aca="false">"$"&amp;TEXT(A8,"0.00")&amp;"-"&amp;TEXT(A8+BandStep-0.001,"0.000")</f>
        <v>$3.30-3.349</v>
      </c>
      <c r="C8" s="5" t="n">
        <f aca="false">ROUND((A8-BasePrice)/MPG,2)</f>
        <v>0.33</v>
      </c>
    </row>
    <row r="9" customFormat="false" ht="15" hidden="false" customHeight="true" outlineLevel="0" collapsed="false">
      <c r="A9" s="5" t="n">
        <f aca="false">ROUND(A8+BandStep,2)</f>
        <v>3.35</v>
      </c>
      <c r="B9" s="14" t="str">
        <f aca="false">"$"&amp;TEXT(A9,"0.00")&amp;"-"&amp;TEXT(A9+BandStep-0.001,"0.000")</f>
        <v>$3.35-3.399</v>
      </c>
      <c r="C9" s="5" t="n">
        <f aca="false">ROUND((A9-BasePrice)/MPG,2)</f>
        <v>0.34</v>
      </c>
    </row>
    <row r="10" customFormat="false" ht="15" hidden="false" customHeight="true" outlineLevel="0" collapsed="false">
      <c r="A10" s="5" t="n">
        <f aca="false">ROUND(A9+BandStep,2)</f>
        <v>3.4</v>
      </c>
      <c r="B10" s="14" t="str">
        <f aca="false">"$"&amp;TEXT(A10,"0.00")&amp;"-"&amp;TEXT(A10+BandStep-0.001,"0.000")</f>
        <v>$3.40-3.449</v>
      </c>
      <c r="C10" s="5" t="n">
        <f aca="false">ROUND((A10-BasePrice)/MPG,2)</f>
        <v>0.35</v>
      </c>
    </row>
    <row r="11" customFormat="false" ht="15" hidden="false" customHeight="true" outlineLevel="0" collapsed="false">
      <c r="A11" s="5" t="n">
        <f aca="false">ROUND(A10+BandStep,2)</f>
        <v>3.45</v>
      </c>
      <c r="B11" s="14" t="str">
        <f aca="false">"$"&amp;TEXT(A11,"0.00")&amp;"-"&amp;TEXT(A11+BandStep-0.001,"0.000")</f>
        <v>$3.45-3.499</v>
      </c>
      <c r="C11" s="5" t="n">
        <f aca="false">ROUND((A11-BasePrice)/MPG,2)</f>
        <v>0.35</v>
      </c>
    </row>
    <row r="12" customFormat="false" ht="15" hidden="false" customHeight="true" outlineLevel="0" collapsed="false">
      <c r="A12" s="5" t="n">
        <f aca="false">ROUND(A11+BandStep,2)</f>
        <v>3.5</v>
      </c>
      <c r="B12" s="14" t="str">
        <f aca="false">"$"&amp;TEXT(A12,"0.00")&amp;"-"&amp;TEXT(A12+BandStep-0.001,"0.000")</f>
        <v>$3.50-3.549</v>
      </c>
      <c r="C12" s="5" t="n">
        <f aca="false">ROUND((A12-BasePrice)/MPG,2)</f>
        <v>0.36</v>
      </c>
    </row>
    <row r="13" customFormat="false" ht="15" hidden="false" customHeight="true" outlineLevel="0" collapsed="false">
      <c r="A13" s="5" t="n">
        <f aca="false">ROUND(A12+BandStep,2)</f>
        <v>3.55</v>
      </c>
      <c r="B13" s="14" t="str">
        <f aca="false">"$"&amp;TEXT(A13,"0.00")&amp;"-"&amp;TEXT(A13+BandStep-0.001,"0.000")</f>
        <v>$3.55-3.599</v>
      </c>
      <c r="C13" s="5" t="n">
        <f aca="false">ROUND((A13-BasePrice)/MPG,2)</f>
        <v>0.37</v>
      </c>
    </row>
    <row r="14" customFormat="false" ht="15" hidden="false" customHeight="true" outlineLevel="0" collapsed="false">
      <c r="A14" s="5" t="n">
        <f aca="false">ROUND(A13+BandStep,2)</f>
        <v>3.6</v>
      </c>
      <c r="B14" s="14" t="str">
        <f aca="false">"$"&amp;TEXT(A14,"0.00")&amp;"-"&amp;TEXT(A14+BandStep-0.001,"0.000")</f>
        <v>$3.60-3.649</v>
      </c>
      <c r="C14" s="5" t="n">
        <f aca="false">ROUND((A14-BasePrice)/MPG,2)</f>
        <v>0.38</v>
      </c>
    </row>
    <row r="15" customFormat="false" ht="15" hidden="false" customHeight="true" outlineLevel="0" collapsed="false">
      <c r="A15" s="5" t="n">
        <f aca="false">ROUND(A14+BandStep,2)</f>
        <v>3.65</v>
      </c>
      <c r="B15" s="14" t="str">
        <f aca="false">"$"&amp;TEXT(A15,"0.00")&amp;"-"&amp;TEXT(A15+BandStep-0.001,"0.000")</f>
        <v>$3.65-3.699</v>
      </c>
      <c r="C15" s="5" t="n">
        <f aca="false">ROUND((A15-BasePrice)/MPG,2)</f>
        <v>0.39</v>
      </c>
    </row>
    <row r="16" customFormat="false" ht="15" hidden="false" customHeight="true" outlineLevel="0" collapsed="false">
      <c r="A16" s="5" t="n">
        <f aca="false">ROUND(A15+BandStep,2)</f>
        <v>3.7</v>
      </c>
      <c r="B16" s="14" t="str">
        <f aca="false">"$"&amp;TEXT(A16,"0.00")&amp;"-"&amp;TEXT(A16+BandStep-0.001,"0.000")</f>
        <v>$3.70-3.749</v>
      </c>
      <c r="C16" s="5" t="n">
        <f aca="false">ROUND((A16-BasePrice)/MPG,2)</f>
        <v>0.4</v>
      </c>
    </row>
    <row r="17" customFormat="false" ht="15" hidden="false" customHeight="true" outlineLevel="0" collapsed="false">
      <c r="A17" s="5" t="n">
        <f aca="false">ROUND(A16+BandStep,2)</f>
        <v>3.75</v>
      </c>
      <c r="B17" s="14" t="str">
        <f aca="false">"$"&amp;TEXT(A17,"0.00")&amp;"-"&amp;TEXT(A17+BandStep-0.001,"0.000")</f>
        <v>$3.75-3.799</v>
      </c>
      <c r="C17" s="5" t="n">
        <f aca="false">ROUND((A17-BasePrice)/MPG,2)</f>
        <v>0.4</v>
      </c>
    </row>
    <row r="18" customFormat="false" ht="15" hidden="false" customHeight="true" outlineLevel="0" collapsed="false">
      <c r="A18" s="5" t="n">
        <f aca="false">ROUND(A17+BandStep,2)</f>
        <v>3.8</v>
      </c>
      <c r="B18" s="14" t="str">
        <f aca="false">"$"&amp;TEXT(A18,"0.00")&amp;"-"&amp;TEXT(A18+BandStep-0.001,"0.000")</f>
        <v>$3.80-3.849</v>
      </c>
      <c r="C18" s="5" t="n">
        <f aca="false">ROUND((A18-BasePrice)/MPG,2)</f>
        <v>0.41</v>
      </c>
    </row>
    <row r="19" customFormat="false" ht="15" hidden="false" customHeight="true" outlineLevel="0" collapsed="false">
      <c r="A19" s="5" t="n">
        <f aca="false">ROUND(A18+BandStep,2)</f>
        <v>3.85</v>
      </c>
      <c r="B19" s="14" t="str">
        <f aca="false">"$"&amp;TEXT(A19,"0.00")&amp;"-"&amp;TEXT(A19+BandStep-0.001,"0.000")</f>
        <v>$3.85-3.899</v>
      </c>
      <c r="C19" s="5" t="n">
        <f aca="false">ROUND((A19-BasePrice)/MPG,2)</f>
        <v>0.42</v>
      </c>
    </row>
    <row r="20" customFormat="false" ht="15" hidden="false" customHeight="true" outlineLevel="0" collapsed="false">
      <c r="A20" s="5" t="n">
        <f aca="false">ROUND(A19+BandStep,2)</f>
        <v>3.9</v>
      </c>
      <c r="B20" s="14" t="str">
        <f aca="false">"$"&amp;TEXT(A20,"0.00")&amp;"-"&amp;TEXT(A20+BandStep-0.001,"0.000")</f>
        <v>$3.90-3.949</v>
      </c>
      <c r="C20" s="5" t="n">
        <f aca="false">ROUND((A20-BasePrice)/MPG,2)</f>
        <v>0.43</v>
      </c>
    </row>
    <row r="21" customFormat="false" ht="15" hidden="false" customHeight="true" outlineLevel="0" collapsed="false">
      <c r="A21" s="5" t="n">
        <f aca="false">ROUND(A20+BandStep,2)</f>
        <v>3.95</v>
      </c>
      <c r="B21" s="14" t="str">
        <f aca="false">"$"&amp;TEXT(A21,"0.00")&amp;"-"&amp;TEXT(A21+BandStep-0.001,"0.000")</f>
        <v>$3.95-3.999</v>
      </c>
      <c r="C21" s="5" t="n">
        <f aca="false">ROUND((A21-BasePrice)/MPG,2)</f>
        <v>0.44</v>
      </c>
    </row>
    <row r="22" customFormat="false" ht="15" hidden="false" customHeight="true" outlineLevel="0" collapsed="false">
      <c r="A22" s="5" t="n">
        <f aca="false">ROUND(A21+BandStep,2)</f>
        <v>4</v>
      </c>
      <c r="B22" s="14" t="str">
        <f aca="false">"$"&amp;TEXT(A22,"0.00")&amp;"-"&amp;TEXT(A22+BandStep-0.001,"0.000")</f>
        <v>$4.00-4.049</v>
      </c>
      <c r="C22" s="5" t="n">
        <f aca="false">ROUND((A22-BasePrice)/MPG,2)</f>
        <v>0.44</v>
      </c>
    </row>
    <row r="23" customFormat="false" ht="15" hidden="false" customHeight="true" outlineLevel="0" collapsed="false">
      <c r="A23" s="5" t="n">
        <f aca="false">ROUND(A22+BandStep,2)</f>
        <v>4.05</v>
      </c>
      <c r="B23" s="14" t="str">
        <f aca="false">"$"&amp;TEXT(A23,"0.00")&amp;"-"&amp;TEXT(A23+BandStep-0.001,"0.000")</f>
        <v>$4.05-4.099</v>
      </c>
      <c r="C23" s="5" t="n">
        <f aca="false">ROUND((A23-BasePrice)/MPG,2)</f>
        <v>0.45</v>
      </c>
    </row>
    <row r="24" customFormat="false" ht="15" hidden="false" customHeight="true" outlineLevel="0" collapsed="false">
      <c r="A24" s="5" t="n">
        <f aca="false">ROUND(A23+BandStep,2)</f>
        <v>4.1</v>
      </c>
      <c r="B24" s="14" t="str">
        <f aca="false">"$"&amp;TEXT(A24,"0.00")&amp;"-"&amp;TEXT(A24+BandStep-0.001,"0.000")</f>
        <v>$4.10-4.149</v>
      </c>
      <c r="C24" s="5" t="n">
        <f aca="false">ROUND((A24-BasePrice)/MPG,2)</f>
        <v>0.46</v>
      </c>
    </row>
    <row r="25" customFormat="false" ht="15" hidden="false" customHeight="true" outlineLevel="0" collapsed="false">
      <c r="A25" s="5" t="n">
        <f aca="false">ROUND(A24+BandStep,2)</f>
        <v>4.15</v>
      </c>
      <c r="B25" s="14" t="str">
        <f aca="false">"$"&amp;TEXT(A25,"0.00")&amp;"-"&amp;TEXT(A25+BandStep-0.001,"0.000")</f>
        <v>$4.15-4.199</v>
      </c>
      <c r="C25" s="5" t="n">
        <f aca="false">ROUND((A25-BasePrice)/MPG,2)</f>
        <v>0.47</v>
      </c>
    </row>
    <row r="26" customFormat="false" ht="15" hidden="false" customHeight="true" outlineLevel="0" collapsed="false">
      <c r="A26" s="5" t="n">
        <f aca="false">ROUND(A25+BandStep,2)</f>
        <v>4.2</v>
      </c>
      <c r="B26" s="14" t="str">
        <f aca="false">"$"&amp;TEXT(A26,"0.00")&amp;"-"&amp;TEXT(A26+BandStep-0.001,"0.000")</f>
        <v>$4.20-4.249</v>
      </c>
      <c r="C26" s="5" t="n">
        <f aca="false">ROUND((A26-BasePrice)/MPG,2)</f>
        <v>0.48</v>
      </c>
    </row>
    <row r="27" customFormat="false" ht="15" hidden="false" customHeight="true" outlineLevel="0" collapsed="false">
      <c r="A27" s="5" t="n">
        <f aca="false">ROUND(A26+BandStep,2)</f>
        <v>4.25</v>
      </c>
      <c r="B27" s="14" t="str">
        <f aca="false">"$"&amp;TEXT(A27,"0.00")&amp;"-"&amp;TEXT(A27+BandStep-0.001,"0.000")</f>
        <v>$4.25-4.299</v>
      </c>
      <c r="C27" s="5" t="n">
        <f aca="false">ROUND((A27-BasePrice)/MPG,2)</f>
        <v>0.48</v>
      </c>
    </row>
    <row r="28" customFormat="false" ht="15" hidden="false" customHeight="true" outlineLevel="0" collapsed="false">
      <c r="A28" s="5" t="n">
        <f aca="false">ROUND(A27+BandStep,2)</f>
        <v>4.3</v>
      </c>
      <c r="B28" s="14" t="str">
        <f aca="false">"$"&amp;TEXT(A28,"0.00")&amp;"-"&amp;TEXT(A28+BandStep-0.001,"0.000")</f>
        <v>$4.30-4.349</v>
      </c>
      <c r="C28" s="5" t="n">
        <f aca="false">ROUND((A28-BasePrice)/MPG,2)</f>
        <v>0.49</v>
      </c>
    </row>
    <row r="29" customFormat="false" ht="15" hidden="false" customHeight="true" outlineLevel="0" collapsed="false">
      <c r="A29" s="5" t="n">
        <f aca="false">ROUND(A28+BandStep,2)</f>
        <v>4.35</v>
      </c>
      <c r="B29" s="14" t="str">
        <f aca="false">"$"&amp;TEXT(A29,"0.00")&amp;"-"&amp;TEXT(A29+BandStep-0.001,"0.000")</f>
        <v>$4.35-4.399</v>
      </c>
      <c r="C29" s="5" t="n">
        <f aca="false">ROUND((A29-BasePrice)/MPG,2)</f>
        <v>0.5</v>
      </c>
    </row>
    <row r="30" customFormat="false" ht="15" hidden="false" customHeight="true" outlineLevel="0" collapsed="false">
      <c r="A30" s="5" t="n">
        <f aca="false">ROUND(A29+BandStep,2)</f>
        <v>4.4</v>
      </c>
      <c r="B30" s="14" t="str">
        <f aca="false">"$"&amp;TEXT(A30,"0.00")&amp;"-"&amp;TEXT(A30+BandStep-0.001,"0.000")</f>
        <v>$4.40-4.449</v>
      </c>
      <c r="C30" s="5" t="n">
        <f aca="false">ROUND((A30-BasePrice)/MPG,2)</f>
        <v>0.51</v>
      </c>
    </row>
    <row r="31" customFormat="false" ht="15" hidden="false" customHeight="true" outlineLevel="0" collapsed="false">
      <c r="A31" s="5" t="n">
        <f aca="false">ROUND(A30+BandStep,2)</f>
        <v>4.45</v>
      </c>
      <c r="B31" s="14" t="str">
        <f aca="false">"$"&amp;TEXT(A31,"0.00")&amp;"-"&amp;TEXT(A31+BandStep-0.001,"0.000")</f>
        <v>$4.45-4.499</v>
      </c>
      <c r="C31" s="5" t="n">
        <f aca="false">ROUND((A31-BasePrice)/MPG,2)</f>
        <v>0.52</v>
      </c>
    </row>
    <row r="32" customFormat="false" ht="15" hidden="false" customHeight="true" outlineLevel="0" collapsed="false">
      <c r="A32" s="5" t="n">
        <f aca="false">ROUND(A31+BandStep,2)</f>
        <v>4.5</v>
      </c>
      <c r="B32" s="14" t="str">
        <f aca="false">"$"&amp;TEXT(A32,"0.00")&amp;"-"&amp;TEXT(A32+BandStep-0.001,"0.000")</f>
        <v>$4.50-4.549</v>
      </c>
      <c r="C32" s="5" t="n">
        <f aca="false">ROUND((A32-BasePrice)/MPG,2)</f>
        <v>0.52</v>
      </c>
    </row>
    <row r="33" customFormat="false" ht="15" hidden="false" customHeight="true" outlineLevel="0" collapsed="false">
      <c r="A33" s="5" t="n">
        <f aca="false">ROUND(A32+BandStep,2)</f>
        <v>4.55</v>
      </c>
      <c r="B33" s="14" t="str">
        <f aca="false">"$"&amp;TEXT(A33,"0.00")&amp;"-"&amp;TEXT(A33+BandStep-0.001,"0.000")</f>
        <v>$4.55-4.599</v>
      </c>
      <c r="C33" s="5" t="n">
        <f aca="false">ROUND((A33-BasePrice)/MPG,2)</f>
        <v>0.53</v>
      </c>
    </row>
    <row r="34" customFormat="false" ht="15" hidden="false" customHeight="true" outlineLevel="0" collapsed="false">
      <c r="A34" s="5" t="n">
        <f aca="false">ROUND(A33+BandStep,2)</f>
        <v>4.6</v>
      </c>
      <c r="B34" s="14" t="str">
        <f aca="false">"$"&amp;TEXT(A34,"0.00")&amp;"-"&amp;TEXT(A34+BandStep-0.001,"0.000")</f>
        <v>$4.60-4.649</v>
      </c>
      <c r="C34" s="5" t="n">
        <f aca="false">ROUND((A34-BasePrice)/MPG,2)</f>
        <v>0.54</v>
      </c>
    </row>
    <row r="35" customFormat="false" ht="15" hidden="false" customHeight="true" outlineLevel="0" collapsed="false">
      <c r="A35" s="5" t="n">
        <f aca="false">ROUND(A34+BandStep,2)</f>
        <v>4.65</v>
      </c>
      <c r="B35" s="14" t="str">
        <f aca="false">"$"&amp;TEXT(A35,"0.00")&amp;"-"&amp;TEXT(A35+BandStep-0.001,"0.000")</f>
        <v>$4.65-4.699</v>
      </c>
      <c r="C35" s="5" t="n">
        <f aca="false">ROUND((A35-BasePrice)/MPG,2)</f>
        <v>0.55</v>
      </c>
    </row>
    <row r="36" customFormat="false" ht="15" hidden="false" customHeight="true" outlineLevel="0" collapsed="false">
      <c r="A36" s="5" t="n">
        <f aca="false">ROUND(A35+BandStep,2)</f>
        <v>4.7</v>
      </c>
      <c r="B36" s="14" t="str">
        <f aca="false">"$"&amp;TEXT(A36,"0.00")&amp;"-"&amp;TEXT(A36+BandStep-0.001,"0.000")</f>
        <v>$4.70-4.749</v>
      </c>
      <c r="C36" s="5" t="n">
        <f aca="false">ROUND((A36-BasePrice)/MPG,2)</f>
        <v>0.56</v>
      </c>
    </row>
    <row r="37" customFormat="false" ht="15" hidden="false" customHeight="true" outlineLevel="0" collapsed="false">
      <c r="A37" s="5" t="n">
        <f aca="false">ROUND(A36+BandStep,2)</f>
        <v>4.75</v>
      </c>
      <c r="B37" s="14" t="str">
        <f aca="false">"$"&amp;TEXT(A37,"0.00")&amp;"-"&amp;TEXT(A37+BandStep-0.001,"0.000")</f>
        <v>$4.75-4.799</v>
      </c>
      <c r="C37" s="5" t="n">
        <f aca="false">ROUND((A37-BasePrice)/MPG,2)</f>
        <v>0.56</v>
      </c>
    </row>
    <row r="38" customFormat="false" ht="15" hidden="false" customHeight="true" outlineLevel="0" collapsed="false">
      <c r="A38" s="5" t="n">
        <f aca="false">ROUND(A37+BandStep,2)</f>
        <v>4.8</v>
      </c>
      <c r="B38" s="14" t="str">
        <f aca="false">"$"&amp;TEXT(A38,"0.00")&amp;"-"&amp;TEXT(A38+BandStep-0.001,"0.000")</f>
        <v>$4.80-4.849</v>
      </c>
      <c r="C38" s="5" t="n">
        <f aca="false">ROUND((A38-BasePrice)/MPG,2)</f>
        <v>0.57</v>
      </c>
    </row>
    <row r="39" customFormat="false" ht="15" hidden="false" customHeight="true" outlineLevel="0" collapsed="false">
      <c r="A39" s="5" t="n">
        <f aca="false">ROUND(A38+BandStep,2)</f>
        <v>4.85</v>
      </c>
      <c r="B39" s="14" t="str">
        <f aca="false">"$"&amp;TEXT(A39,"0.00")&amp;"-"&amp;TEXT(A39+BandStep-0.001,"0.000")</f>
        <v>$4.85-4.899</v>
      </c>
      <c r="C39" s="5" t="n">
        <f aca="false">ROUND((A39-BasePrice)/MPG,2)</f>
        <v>0.58</v>
      </c>
    </row>
    <row r="40" customFormat="false" ht="15" hidden="false" customHeight="true" outlineLevel="0" collapsed="false">
      <c r="A40" s="5" t="n">
        <f aca="false">ROUND(A39+BandStep,2)</f>
        <v>4.9</v>
      </c>
      <c r="B40" s="14" t="str">
        <f aca="false">"$"&amp;TEXT(A40,"0.00")&amp;"-"&amp;TEXT(A40+BandStep-0.001,"0.000")</f>
        <v>$4.90-4.949</v>
      </c>
      <c r="C40" s="5" t="n">
        <f aca="false">ROUND((A40-BasePrice)/MPG,2)</f>
        <v>0.59</v>
      </c>
    </row>
    <row r="41" customFormat="false" ht="15" hidden="false" customHeight="true" outlineLevel="0" collapsed="false">
      <c r="A41" s="5" t="n">
        <f aca="false">ROUND(A40+BandStep,2)</f>
        <v>4.95</v>
      </c>
      <c r="B41" s="14" t="str">
        <f aca="false">"$"&amp;TEXT(A41,"0.00")&amp;"-"&amp;TEXT(A41+BandStep-0.001,"0.000")</f>
        <v>$4.95-4.999</v>
      </c>
      <c r="C41" s="5" t="n">
        <f aca="false">ROUND((A41-BasePrice)/MPG,2)</f>
        <v>0.6</v>
      </c>
    </row>
    <row r="42" customFormat="false" ht="15" hidden="false" customHeight="true" outlineLevel="0" collapsed="false">
      <c r="A42" s="5" t="n">
        <f aca="false">ROUND(A41+BandStep,2)</f>
        <v>5</v>
      </c>
      <c r="B42" s="14" t="s">
        <v>46</v>
      </c>
      <c r="C42" s="5" t="n">
        <f aca="false">ROUND((A42-BasePrice)/MPG,2)</f>
        <v>0.6</v>
      </c>
    </row>
    <row r="44" customFormat="false" ht="15" hidden="false" customHeight="true" outlineLevel="0" collapsed="false">
      <c r="A44" s="14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8"/>
    <col collapsed="false" customWidth="true" hidden="false" outlineLevel="0" max="3" min="3" style="1" width="90"/>
  </cols>
  <sheetData>
    <row r="1" customFormat="false" ht="15" hidden="false" customHeight="true" outlineLevel="0" collapsed="false">
      <c r="A1" s="2" t="s">
        <v>48</v>
      </c>
      <c r="B1" s="2" t="s">
        <v>9</v>
      </c>
      <c r="C1" s="2" t="s">
        <v>49</v>
      </c>
    </row>
    <row r="2" customFormat="false" ht="15" hidden="false" customHeight="true" outlineLevel="0" collapsed="false">
      <c r="A2" s="14" t="s">
        <v>23</v>
      </c>
      <c r="B2" s="18" t="n">
        <f aca="false">COUNT(Weekly!B2:B53)</f>
        <v>52</v>
      </c>
      <c r="C2" s="19" t="s">
        <v>50</v>
      </c>
    </row>
    <row r="3" customFormat="false" ht="15" hidden="false" customHeight="true" outlineLevel="0" collapsed="false">
      <c r="A3" s="14" t="s">
        <v>51</v>
      </c>
      <c r="B3" s="20" t="n">
        <f aca="false">MIN(Weekly!A2:A53)</f>
        <v>45929</v>
      </c>
      <c r="C3" s="19" t="s">
        <v>52</v>
      </c>
    </row>
    <row r="4" customFormat="false" ht="15" hidden="false" customHeight="true" outlineLevel="0" collapsed="false">
      <c r="A4" s="14" t="s">
        <v>53</v>
      </c>
      <c r="B4" s="20" t="n">
        <f aca="false">MAX(Weekly!A2:A53)</f>
        <v>46286</v>
      </c>
      <c r="C4" s="19" t="s">
        <v>54</v>
      </c>
    </row>
    <row r="5" customFormat="false" ht="15" hidden="false" customHeight="true" outlineLevel="0" collapsed="false">
      <c r="A5" s="14" t="s">
        <v>55</v>
      </c>
      <c r="B5" s="21" t="n">
        <f aca="false">AVERAGE(Weekly!B2:B53)</f>
        <v>4.57869230769231</v>
      </c>
      <c r="C5" s="19" t="s">
        <v>56</v>
      </c>
    </row>
    <row r="6" customFormat="false" ht="15" hidden="false" customHeight="true" outlineLevel="0" collapsed="false">
      <c r="A6" s="14" t="s">
        <v>57</v>
      </c>
      <c r="B6" s="21" t="n">
        <f aca="false">MAX(Weekly!B2:B53)</f>
        <v>6.68</v>
      </c>
      <c r="C6" s="19"/>
    </row>
    <row r="7" customFormat="false" ht="15" hidden="false" customHeight="true" outlineLevel="0" collapsed="false">
      <c r="A7" s="14" t="s">
        <v>58</v>
      </c>
      <c r="B7" s="20" t="n">
        <f aca="false">INDEX(Weekly!A2:A53,MATCH(B6,Weekly!B2:B53,0))</f>
        <v>46286</v>
      </c>
      <c r="C7" s="19" t="s">
        <v>59</v>
      </c>
    </row>
    <row r="8" customFormat="false" ht="15" hidden="false" customHeight="true" outlineLevel="0" collapsed="false">
      <c r="A8" s="14" t="s">
        <v>60</v>
      </c>
      <c r="B8" s="21" t="n">
        <f aca="false">MIN(Weekly!B2:B53)</f>
        <v>3.365</v>
      </c>
      <c r="C8" s="19"/>
    </row>
    <row r="9" customFormat="false" ht="15" hidden="false" customHeight="true" outlineLevel="0" collapsed="false">
      <c r="A9" s="14" t="s">
        <v>61</v>
      </c>
      <c r="B9" s="20" t="n">
        <f aca="false">INDEX(Weekly!A2:A53,MATCH(B8,Weekly!B2:B53,0))</f>
        <v>46034</v>
      </c>
      <c r="C9" s="19" t="s">
        <v>59</v>
      </c>
    </row>
    <row r="10" customFormat="false" ht="15" hidden="false" customHeight="true" outlineLevel="0" collapsed="false">
      <c r="A10" s="14" t="s">
        <v>62</v>
      </c>
      <c r="B10" s="8" t="n">
        <f aca="false">AVERAGE(Weekly!C2:C53)</f>
        <v>0.537115384615385</v>
      </c>
      <c r="C10" s="19" t="s">
        <v>63</v>
      </c>
    </row>
    <row r="11" customFormat="false" ht="15" hidden="false" customHeight="true" outlineLevel="0" collapsed="false">
      <c r="A11" s="14" t="s">
        <v>64</v>
      </c>
      <c r="B11" s="5" t="n">
        <f aca="false">MAX(Weekly!C2:C53)</f>
        <v>0.88</v>
      </c>
      <c r="C11" s="19"/>
    </row>
    <row r="12" customFormat="false" ht="15" hidden="false" customHeight="true" outlineLevel="0" collapsed="false">
      <c r="A12" s="14" t="s">
        <v>65</v>
      </c>
      <c r="B12" s="5" t="n">
        <f aca="false">MIN(Weekly!C2:C53)</f>
        <v>0.34</v>
      </c>
      <c r="C12" s="19"/>
    </row>
    <row r="13" customFormat="false" ht="15" hidden="false" customHeight="true" outlineLevel="0" collapsed="false">
      <c r="A13" s="14" t="s">
        <v>66</v>
      </c>
      <c r="B13" s="6" t="n">
        <f aca="false">SUM(Weekly!D2:D53)</f>
        <v>675161.290322581</v>
      </c>
      <c r="C13" s="19"/>
    </row>
    <row r="14" customFormat="false" ht="15" hidden="false" customHeight="true" outlineLevel="0" collapsed="false">
      <c r="A14" s="14" t="s">
        <v>67</v>
      </c>
      <c r="B14" s="7" t="n">
        <f aca="false">SUM(Weekly!E2:E53)</f>
        <v>3091355.80645161</v>
      </c>
      <c r="C14" s="19" t="s">
        <v>68</v>
      </c>
    </row>
    <row r="15" customFormat="false" ht="15" hidden="false" customHeight="true" outlineLevel="0" collapsed="false">
      <c r="A15" s="14" t="s">
        <v>69</v>
      </c>
      <c r="B15" s="8" t="n">
        <f aca="false">B14/(FleetMilesWeek*Weeks)</f>
        <v>0.738498759305211</v>
      </c>
      <c r="C15" s="19" t="s">
        <v>70</v>
      </c>
    </row>
    <row r="16" customFormat="false" ht="39" hidden="false" customHeight="true" outlineLevel="0" collapsed="false">
      <c r="A16" s="14" t="s">
        <v>41</v>
      </c>
      <c r="B16" s="4" t="n">
        <f aca="false">Inputs!$B$16</f>
        <v>2.336</v>
      </c>
      <c r="C16" s="19" t="s">
        <v>71</v>
      </c>
    </row>
    <row r="17" customFormat="false" ht="15" hidden="false" customHeight="true" outlineLevel="0" collapsed="false">
      <c r="A17" s="14" t="s">
        <v>43</v>
      </c>
      <c r="B17" s="4" t="n">
        <f aca="false">Inputs!$B$17</f>
        <v>0.482</v>
      </c>
      <c r="C17" s="19" t="s">
        <v>72</v>
      </c>
    </row>
    <row r="18" customFormat="false" ht="15" hidden="false" customHeight="true" outlineLevel="0" collapsed="false">
      <c r="A18" s="14" t="s">
        <v>73</v>
      </c>
      <c r="B18" s="22" t="n">
        <f aca="false">B17/B16</f>
        <v>0.206335616438356</v>
      </c>
      <c r="C18" s="19" t="s">
        <v>74</v>
      </c>
    </row>
    <row r="19" customFormat="false" ht="15" hidden="false" customHeight="true" outlineLevel="0" collapsed="false">
      <c r="A19" s="14" t="s">
        <v>75</v>
      </c>
      <c r="B19" s="8" t="n">
        <f aca="false">B15-B17</f>
        <v>0.256498759305211</v>
      </c>
      <c r="C19" s="19" t="s">
        <v>76</v>
      </c>
    </row>
    <row r="20" customFormat="false" ht="15" hidden="false" customHeight="true" outlineLevel="0" collapsed="false">
      <c r="A20" s="14" t="s">
        <v>77</v>
      </c>
      <c r="B20" s="23" t="n">
        <f aca="false">B15/B17</f>
        <v>1.53215510229297</v>
      </c>
      <c r="C20" s="19" t="s">
        <v>78</v>
      </c>
    </row>
    <row r="21" customFormat="false" ht="15" hidden="false" customHeight="true" outlineLevel="0" collapsed="false">
      <c r="A21" s="14" t="s">
        <v>79</v>
      </c>
      <c r="B21" s="22" t="n">
        <f aca="false">B15/B16</f>
        <v>0.316138167510792</v>
      </c>
      <c r="C21" s="19" t="s">
        <v>80</v>
      </c>
    </row>
    <row r="23" customFormat="false" ht="15" hidden="false" customHeight="true" outlineLevel="0" collapsed="false">
      <c r="A23" s="14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20"/>
  </cols>
  <sheetData>
    <row r="1" customFormat="false" ht="15" hidden="false" customHeight="true" outlineLevel="0" collapsed="false">
      <c r="A1" s="2" t="s">
        <v>82</v>
      </c>
      <c r="B1" s="2" t="s">
        <v>83</v>
      </c>
    </row>
    <row r="2" customFormat="false" ht="15" hidden="false" customHeight="true" outlineLevel="0" collapsed="false">
      <c r="A2" s="9" t="s">
        <v>84</v>
      </c>
      <c r="B2" s="14" t="s">
        <v>85</v>
      </c>
    </row>
    <row r="3" customFormat="false" ht="15" hidden="false" customHeight="true" outlineLevel="0" collapsed="false">
      <c r="A3" s="9" t="s">
        <v>86</v>
      </c>
      <c r="B3" s="14" t="s">
        <v>87</v>
      </c>
    </row>
    <row r="4" customFormat="false" ht="15" hidden="false" customHeight="true" outlineLevel="0" collapsed="false">
      <c r="A4" s="9" t="s">
        <v>88</v>
      </c>
      <c r="B4" s="14" t="s">
        <v>89</v>
      </c>
    </row>
    <row r="5" customFormat="false" ht="15" hidden="false" customHeight="true" outlineLevel="0" collapsed="false">
      <c r="A5" s="9" t="s">
        <v>90</v>
      </c>
      <c r="B5" s="14" t="s">
        <v>91</v>
      </c>
    </row>
    <row r="6" customFormat="false" ht="15" hidden="false" customHeight="true" outlineLevel="0" collapsed="false">
      <c r="A6" s="9" t="s">
        <v>92</v>
      </c>
      <c r="B6" s="14" t="s">
        <v>93</v>
      </c>
    </row>
    <row r="7" customFormat="false" ht="15" hidden="false" customHeight="true" outlineLevel="0" collapsed="false">
      <c r="A7" s="9" t="s">
        <v>94</v>
      </c>
      <c r="B7" s="14" t="s">
        <v>95</v>
      </c>
    </row>
    <row r="8" customFormat="false" ht="15" hidden="false" customHeight="true" outlineLevel="0" collapsed="false">
      <c r="A8" s="9" t="s">
        <v>96</v>
      </c>
      <c r="B8" s="14" t="s">
        <v>97</v>
      </c>
    </row>
    <row r="9" customFormat="false" ht="15" hidden="false" customHeight="true" outlineLevel="0" collapsed="false">
      <c r="A9" s="9" t="s">
        <v>98</v>
      </c>
      <c r="B9" s="14" t="s">
        <v>99</v>
      </c>
    </row>
    <row r="10" customFormat="false" ht="15" hidden="false" customHeight="true" outlineLevel="0" collapsed="false">
      <c r="A10" s="9" t="s">
        <v>100</v>
      </c>
      <c r="B10" s="14" t="s">
        <v>101</v>
      </c>
    </row>
    <row r="11" customFormat="false" ht="15" hidden="false" customHeight="true" outlineLevel="0" collapsed="false">
      <c r="A11" s="9" t="s">
        <v>102</v>
      </c>
      <c r="B11" s="14" t="s">
        <v>103</v>
      </c>
    </row>
    <row r="12" customFormat="false" ht="15" hidden="false" customHeight="true" outlineLevel="0" collapsed="false">
      <c r="A12" s="9" t="s">
        <v>104</v>
      </c>
      <c r="B12" s="14" t="s">
        <v>105</v>
      </c>
    </row>
    <row r="13" customFormat="false" ht="15" hidden="false" customHeight="true" outlineLevel="0" collapsed="false">
      <c r="A13" s="9" t="s">
        <v>106</v>
      </c>
      <c r="B13" s="14" t="s">
        <v>91</v>
      </c>
    </row>
    <row r="14" customFormat="false" ht="15" hidden="false" customHeight="true" outlineLevel="0" collapsed="false">
      <c r="A14" s="9" t="s">
        <v>107</v>
      </c>
      <c r="B14" s="14" t="s">
        <v>108</v>
      </c>
    </row>
    <row r="15" customFormat="false" ht="15" hidden="false" customHeight="true" outlineLevel="0" collapsed="false">
      <c r="A15" s="9" t="s">
        <v>109</v>
      </c>
      <c r="B15" s="14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2026-10-16T19:59:57Z</dcterms:created>
  <dc:creator>openpyxl</dc:creator>
  <dc:description/>
  <dc:language>en-US</dc:language>
  <cp:lastModifiedBy/>
  <dcterms:modified xsi:type="dcterms:W3CDTF">2026-10-16T20:00:52Z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