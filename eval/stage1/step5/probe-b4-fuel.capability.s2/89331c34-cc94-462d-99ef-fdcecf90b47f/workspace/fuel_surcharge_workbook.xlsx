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" sheetId="1" state="visible" r:id="rId3"/>
    <sheet name="Inputs" sheetId="2" state="visible" r:id="rId4"/>
    <sheet name="Bands" sheetId="3" state="visible" r:id="rId5"/>
    <sheet name="Summar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Modeler</author>
  </authors>
  <commentList>
    <comment ref="B1" authorId="0">
      <text>
        <r>
          <rPr>
            <sz val="10"/>
            <rFont val="DejaVu Sans"/>
            <family val="2"/>
          </rPr>
          <t xml:space="preserve">Units: $ per gallon, EIA Midwest PADD 2 weekly retail diesel</t>
        </r>
      </text>
    </comment>
    <comment ref="C1" authorId="0">
      <text>
        <r>
          <rPr>
            <sz val="10"/>
            <rFont val="DejaVu Sans"/>
            <family val="2"/>
          </rPr>
          <t xml:space="preserve">Units: $ per mile = ROUND((Price - base)/mpg, 2)</t>
        </r>
      </text>
    </comment>
    <comment ref="D1" authorId="0">
      <text>
        <r>
          <rPr>
            <sz val="10"/>
            <rFont val="DejaVu Sans"/>
            <family val="2"/>
          </rPr>
          <t xml:space="preserve">Units: gallons per week, fleet</t>
        </r>
      </text>
    </comment>
    <comment ref="E1" authorId="0">
      <text>
        <r>
          <rPr>
            <sz val="10"/>
            <rFont val="DejaVu Sans"/>
            <family val="2"/>
          </rPr>
          <t xml:space="preserve">Units: $ per week = Price x Gallons</t>
        </r>
      </text>
    </comment>
    <comment ref="F1" authorId="0">
      <text>
        <r>
          <rPr>
            <sz val="10"/>
            <rFont val="DejaVu Sans"/>
            <family val="2"/>
          </rPr>
          <t xml:space="preserve">Units: $ per mile = Price / mpg</t>
        </r>
      </text>
    </comment>
  </commentList>
</comments>
</file>

<file path=xl/sharedStrings.xml><?xml version="1.0" encoding="utf-8"?>
<sst xmlns="http://schemas.openxmlformats.org/spreadsheetml/2006/main" count="204" uniqueCount="132">
  <si>
    <t xml:space="preserve">Week ending</t>
  </si>
  <si>
    <t xml:space="preserve">Price</t>
  </si>
  <si>
    <t xml:space="preserve">Surcharge</t>
  </si>
  <si>
    <t xml:space="preserve">Gallons</t>
  </si>
  <si>
    <t xml:space="preserve">Fleet fuel cost</t>
  </si>
  <si>
    <t xml:space="preserve">Fuel cost per mile</t>
  </si>
  <si>
    <t xml:space="preserve">Source</t>
  </si>
  <si>
    <t xml:space="preserve">Prices (column B) are values from weekly_prices.csv; all other columns are formulas. API URL: https://api.eia.gov/v2/petroleum/pri/gnd/data/?frequency=weekly&amp;data[0]=value&amp;facets[series][]=EMD_EPD2D_PTE_R20_DPG&amp;sort[0][column]=period&amp;sort[0][direction]=desc&amp;length=52 (api_key=DEMO_KEY)</t>
  </si>
  <si>
    <t xml:space="preserve">EIA series EMD_EPD2D_PTE_R20_DPG (Midwest PADD 2 weekly retail diesel), retrieved 2026-10-23</t>
  </si>
  <si>
    <t xml:space="preserve">Fleet fuel surcharge model - Inputs</t>
  </si>
  <si>
    <t xml:space="preserve">Yellow cells are the only hard-coded parameters; edit them and every sheet recalculates.</t>
  </si>
  <si>
    <t xml:space="preserve">Parameter</t>
  </si>
  <si>
    <t xml:space="preserve">Value</t>
  </si>
  <si>
    <t xml:space="preserve">Basis</t>
  </si>
  <si>
    <t xml:space="preserve">Base price ($/gal)</t>
  </si>
  <si>
    <t xml:space="preserve">Standard base price in the task</t>
  </si>
  <si>
    <t xml:space="preserve">Fleet fuel economy (mpg)</t>
  </si>
  <si>
    <t xml:space="preserve">Given in the task: Class 8 tractors average 6.2 mpg</t>
  </si>
  <si>
    <t xml:space="preserve">Tractors (count)</t>
  </si>
  <si>
    <t xml:space="preserve">Given in the task</t>
  </si>
  <si>
    <t xml:space="preserve">Miles per tractor per week</t>
  </si>
  <si>
    <t xml:space="preserve">Fleet miles per week (derived)</t>
  </si>
  <si>
    <t xml:space="preserve">Tractors x miles per tractor</t>
  </si>
  <si>
    <t xml:space="preserve">Fleet gallons per week (derived)</t>
  </si>
  <si>
    <t xml:space="preserve">Fleet miles divided by mpg</t>
  </si>
  <si>
    <t xml:space="preserve">Assumption notes</t>
  </si>
  <si>
    <t xml:space="preserve">1. Constant gallons: every week uses the same gallons (35 x 2,300 / 6.2); miles and mpg do not vary by week.</t>
  </si>
  <si>
    <t xml:space="preserve">2. Midpoint band convention: each 5-cent band surcharge is computed at the band midpoint, ROUND((midpoint - base)/mpg, 2).</t>
  </si>
  <si>
    <t xml:space="preserve">3. Surcharge applies to every mile, loaded and empty: Surcharge per mile = ROUND((price - base) / mpg, 2).</t>
  </si>
  <si>
    <t xml:space="preserve">4. Class 8 = heavy-duty truck with GVWR over 33,000 lb (semi tractor).</t>
  </si>
  <si>
    <t xml:space="preserve">5. Price proxy: EIA weekly Midwest (PADD 2) No. 2 diesel retail price (series EMD_EPD2D_PTE_R20_DPG); EIA publishes no Indiana-only weekly series.</t>
  </si>
  <si>
    <t xml:space="preserve">6. Fleet fuel cost = price x weekly gallons; fuel cost per mile = price / mpg (no tax or discount adjustments).</t>
  </si>
  <si>
    <t xml:space="preserve">7. Band grid (start $3.00, 5-cent step) is on the Bands sheet as labelled grid settings from the task, not a carrier parameter.</t>
  </si>
  <si>
    <t xml:space="preserve">Band</t>
  </si>
  <si>
    <t xml:space="preserve">Low $/gal</t>
  </si>
  <si>
    <t xml:space="preserve">High $/gal</t>
  </si>
  <si>
    <t xml:space="preserve">Midpoint $/gal</t>
  </si>
  <si>
    <t xml:space="preserve">Surcharge $/mi</t>
  </si>
  <si>
    <t xml:space="preserve">Band grid start ($/gal)</t>
  </si>
  <si>
    <t xml:space="preserve">Band width ($/gal)</t>
  </si>
  <si>
    <t xml:space="preserve">Grid settings from the task ($3.00 to $5.00, 5-cent bands); surcharge at midpoint.</t>
  </si>
  <si>
    <t xml:space="preserve">Summary - 52 weeks, EIA Midwest (PADD 2) weekly retail diesel, proxy for Indiana</t>
  </si>
  <si>
    <t xml:space="preserve">Metric</t>
  </si>
  <si>
    <t xml:space="preserve">Formula / source</t>
  </si>
  <si>
    <t xml:space="preserve">As of</t>
  </si>
  <si>
    <t xml:space="preserve">Average price ($/gal)</t>
  </si>
  <si>
    <t xml:space="preserve">AVERAGE(Weekly!B2:B53); EIA EMD_EPD2D_PTE_R20_DPG</t>
  </si>
  <si>
    <t xml:space="preserve">Weeks ending 2025-10-27 to 2026-10-19</t>
  </si>
  <si>
    <t xml:space="preserve">Average surcharge ($/mi)</t>
  </si>
  <si>
    <t xml:space="preserve">AVERAGE(Weekly!C2:C53)</t>
  </si>
  <si>
    <t xml:space="preserve">same 52 weeks</t>
  </si>
  <si>
    <t xml:space="preserve">Highest price ($/gal)</t>
  </si>
  <si>
    <t xml:space="preserve">MAX(Weekly!B2:B53)</t>
  </si>
  <si>
    <t xml:space="preserve">Highest week (week ending)</t>
  </si>
  <si>
    <t xml:space="preserve">INDEX/MATCH on highest price (first match if tied)</t>
  </si>
  <si>
    <t xml:space="preserve">Surcharge in highest week ($/mi)</t>
  </si>
  <si>
    <t xml:space="preserve">INDEX/MATCH</t>
  </si>
  <si>
    <t xml:space="preserve">Lowest price ($/gal)</t>
  </si>
  <si>
    <t xml:space="preserve">MIN(Weekly!B2:B53)</t>
  </si>
  <si>
    <t xml:space="preserve">Lowest week (week ending)</t>
  </si>
  <si>
    <t xml:space="preserve">INDEX/MATCH on lowest price (first match if tied)</t>
  </si>
  <si>
    <t xml:space="preserve">Surcharge in lowest week ($/mi)</t>
  </si>
  <si>
    <t xml:space="preserve">52-week total fleet fuel cost ($)</t>
  </si>
  <si>
    <t xml:space="preserve">SUM(Weekly!E2:E53)</t>
  </si>
  <si>
    <t xml:space="preserve">Average weekly fleet fuel cost ($)</t>
  </si>
  <si>
    <t xml:space="preserve">AVERAGE(Weekly!E2:E53)</t>
  </si>
  <si>
    <t xml:space="preserve">Carrier average fuel cost per mile ($/mi)</t>
  </si>
  <si>
    <t xml:space="preserve">AVERAGE(Weekly!F2:F53); weekly price / 6.2 mpg</t>
  </si>
  <si>
    <t xml:space="preserve">ATRI total marginal cost per mile ($/mi) - INPUT</t>
  </si>
  <si>
    <t xml:space="preserve">ATRI, An Analysis of the Operational Costs of Trucking (2026 ed.), press release https://truckingresearch.org/2026/07/new-atri-report-details-accelerating-costs-and-low-profitability-despite-cuts [S35][S46]</t>
  </si>
  <si>
    <t xml:space="preserve">Cost data year 2025; released 2026-07-15; retrieved 2026-10-23</t>
  </si>
  <si>
    <t xml:space="preserve">ATRI cost per mile excluding fuel ($/mi) - INPUT</t>
  </si>
  <si>
    <t xml:space="preserve">Same ATRI report and page [S46]</t>
  </si>
  <si>
    <t xml:space="preserve">ATRI fuel cost per mile ($/mi) - SUBSTITUTE</t>
  </si>
  <si>
    <t xml:space="preserve">SUBSTITUTE: stated fuel $/mi table value NOT FOUND; derived as total minus non-fuel (2.336 - 1.854 = 0.482)</t>
  </si>
  <si>
    <t xml:space="preserve">Cost data year 2025; released 2026-07-15</t>
  </si>
  <si>
    <t xml:space="preserve">ATRI fuel share of total marginal cost</t>
  </si>
  <si>
    <t xml:space="preserve">Derived: ATRI fuel $/mi / ATRI total $/mi (uses the substitute above)</t>
  </si>
  <si>
    <t xml:space="preserve">Gap: carrier minus ATRI fuel per mile ($/mi)</t>
  </si>
  <si>
    <t xml:space="preserve">Carrier 52-week average (B14) minus ATRI fuel $/mi (B17)</t>
  </si>
  <si>
    <t xml:space="preserve">Carrier: 2025-10-27 to 2026-10-19; ATRI: 2025 data</t>
  </si>
  <si>
    <t xml:space="preserve">Gap as % of ATRI fuel per mile</t>
  </si>
  <si>
    <t xml:space="preserve">B19 / B17</t>
  </si>
  <si>
    <t xml:space="preserve">as above</t>
  </si>
  <si>
    <t xml:space="preserve">Legend: yellow cells on Sources (B21, B22) hold the typed ATRI inputs with source and date; Summary B15 and B16 are formulas pointing to them. Orange = substitute (derived, not a stated table figure). Carrier $/mi is 2025-26 price / 6.2 mpg; ATRI is a 2025 industry sample average, so year and basis differ.</t>
  </si>
  <si>
    <t xml:space="preserve">Sources</t>
  </si>
  <si>
    <t xml:space="preserve">Item</t>
  </si>
  <si>
    <t xml:space="preserve">Detail</t>
  </si>
  <si>
    <t xml:space="preserve">Retrieved / as of</t>
  </si>
  <si>
    <t xml:space="preserve">Proxy statement</t>
  </si>
  <si>
    <t xml:space="preserve">EIA publishes no Indiana-only weekly retail diesel series; the EIA weekly Midwest (PADD 2) retail diesel price is used as a proxy for Indiana (an assumption).</t>
  </si>
  <si>
    <t xml:space="preserve">Applied 2026-10-23</t>
  </si>
  <si>
    <t xml:space="preserve">EIA series ID</t>
  </si>
  <si>
    <t xml:space="preserve">EMD_EPD2D_PTE_R20_DPG - Weekly Midwest No. 2 Diesel Retail Prices, dollars per gallon [S1]</t>
  </si>
  <si>
    <t xml:space="preserve">Retrieved 2026-10-23</t>
  </si>
  <si>
    <t xml:space="preserve">EIA page URL</t>
  </si>
  <si>
    <t xml:space="preserve">https://www.eia.gov/dnav/pet/hist/LeafHandler.ashx?n=PET&amp;s=emd_epd2d_pte_r20_dpg&amp;f=W [S1]</t>
  </si>
  <si>
    <t xml:space="preserve">EIA API URL</t>
  </si>
  <si>
    <t xml:space="preserve">EIA API v2 petroleum/pri/gnd data route (URL in Weekly!I1) [S64]</t>
  </si>
  <si>
    <t xml:space="preserve">Price period</t>
  </si>
  <si>
    <t xml:space="preserve">52 weeks, weeks ending 2025-10-27 to 2026-10-19; latest week as of 2026-10-19 = 6.352 $/gal (FRED shows the same value [S58])</t>
  </si>
  <si>
    <t xml:space="preserve">ATRI report title</t>
  </si>
  <si>
    <t xml:space="preserve">An Analysis of the Operational Costs of Trucking, 2026 edition (press headline: New ATRI Report Details Accelerating Costs and Low Profitability Despite Cuts)</t>
  </si>
  <si>
    <t xml:space="preserve">ATRI URL</t>
  </si>
  <si>
    <t xml:space="preserve">https://truckingresearch.org/2026/07/new-atri-report-details-accelerating-costs-and-low-profitability-despite-cuts [S35][S46]</t>
  </si>
  <si>
    <t xml:space="preserve">ATRI release date</t>
  </si>
  <si>
    <t xml:space="preserve">2026-07-15 (page dateline "Wednesday, July 15, 2026" [S47]; press release says "today released")</t>
  </si>
  <si>
    <t xml:space="preserve">as of 2026-07-15</t>
  </si>
  <si>
    <t xml:space="preserve">ATRI cost data year</t>
  </si>
  <si>
    <t xml:space="preserve">2025; sample 182,248 trucks and 14.67 billion miles [S46]</t>
  </si>
  <si>
    <t xml:space="preserve">Data year 2025</t>
  </si>
  <si>
    <t xml:space="preserve">ATRI figures used</t>
  </si>
  <si>
    <t xml:space="preserve">Total marginal cost 2.336 $/mi (+3.4%); cost excluding fuel 1.854 $/mi (+4.2%) [S46]</t>
  </si>
  <si>
    <t xml:space="preserve">as of 2026-07-15 release</t>
  </si>
  <si>
    <t xml:space="preserve">ATRI SUBSTITUTE (marked)</t>
  </si>
  <si>
    <t xml:space="preserve">Fuel cost per mile stated as a table value NOT FOUND (press release and summary page only; full PDF not read). Substitute: 2.336 - 1.854 = 0.482 $/mi; share 0.482/2.336 = 20.6%.</t>
  </si>
  <si>
    <t xml:space="preserve">Derived 2026-10-23</t>
  </si>
  <si>
    <t xml:space="preserve">ATRI scope caveat</t>
  </si>
  <si>
    <t xml:space="preserve">Industry-wide sample of for-hire/other carriers, all years 2025 data, miles-weighted average marginal cost; not specific to Indiana or a 6.2 mpg Class 8 fleet. The carrier figure uses 2025-26 prices at 6.2 mpg, so year and basis differ.</t>
  </si>
  <si>
    <t xml:space="preserve">Caveat</t>
  </si>
  <si>
    <t xml:space="preserve">ATRI newer edition</t>
  </si>
  <si>
    <t xml:space="preserve">No newer edition than July 2026 was seen in the latest search (results showed only the 2026 edition and an older report article); the newest edition found is used. Only search snippets were seen for this check.</t>
  </si>
  <si>
    <t xml:space="preserve">Checked 2026-10-23</t>
  </si>
  <si>
    <t xml:space="preserve">Carrier parameters</t>
  </si>
  <si>
    <t xml:space="preserve">Base 1.25 $/gal, 6.2 mpg, 35 tractors, 2,300 miles per tractor per week: given in the task (Inputs sheet)</t>
  </si>
  <si>
    <t xml:space="preserve">Task</t>
  </si>
  <si>
    <t xml:space="preserve">Surcharge method</t>
  </si>
  <si>
    <t xml:space="preserve">ROUND((price - 1.25) / 6.2, 2), every loaded and empty mile</t>
  </si>
  <si>
    <t xml:space="preserve">ATRI input cells (typed values, referenced by Summary!B15 and B16)</t>
  </si>
  <si>
    <t xml:space="preserve">ATRI total marginal cost per mile ($/mi), cost data year 2025</t>
  </si>
  <si>
    <t xml:space="preserve">Source: ATRI 2026 edition press release [S46]; released 2026-07-15; retrieved 2026-10-23</t>
  </si>
  <si>
    <t xml:space="preserve">ATRI cost per mile excluding fuel ($/mi), cost data year 2025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</si>
</sst>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.000"/>
    <numFmt numFmtId="167" formatCode="0.00"/>
    <numFmt numFmtId="168" formatCode="#,##0.0"/>
    <numFmt numFmtId="169" formatCode="#,##0.00"/>
    <numFmt numFmtId="170" formatCode="0.0000"/>
    <numFmt numFmtId="171" formatCode="#,##0"/>
    <numFmt numFmtId="172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F8CBAD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17"/>
    <col collapsed="false" customWidth="true" hidden="false" outlineLevel="0" max="6" min="6" style="1" width="14"/>
    <col collapsed="false" customWidth="true" hidden="false" outlineLevel="0" max="7" min="7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</row>
    <row r="2" customFormat="false" ht="15" hidden="false" customHeight="true" outlineLevel="0" collapsed="false">
      <c r="A2" s="4" t="n">
        <v>45957</v>
      </c>
      <c r="B2" s="5" t="n">
        <v>3.715</v>
      </c>
      <c r="C2" s="6" t="n">
        <f aca="false">ROUND((B2-Inputs!$B$4)/Inputs!$B$5,2)</f>
        <v>0.4</v>
      </c>
      <c r="D2" s="7" t="n">
        <f aca="false">Inputs!$B$9</f>
        <v>12983.8709677419</v>
      </c>
      <c r="E2" s="8" t="n">
        <f aca="false">B2*D2</f>
        <v>48235.0806451613</v>
      </c>
      <c r="F2" s="9" t="n">
        <f aca="false">B2/Inputs!$B$5</f>
        <v>0.599193548387097</v>
      </c>
      <c r="G2" s="10" t="s">
        <v>8</v>
      </c>
    </row>
    <row r="3" customFormat="false" ht="15" hidden="false" customHeight="true" outlineLevel="0" collapsed="false">
      <c r="A3" s="4" t="n">
        <v>45964</v>
      </c>
      <c r="B3" s="5" t="n">
        <v>3.773</v>
      </c>
      <c r="C3" s="6" t="n">
        <f aca="false">ROUND((B3-Inputs!$B$4)/Inputs!$B$5,2)</f>
        <v>0.41</v>
      </c>
      <c r="D3" s="7" t="n">
        <f aca="false">Inputs!$B$9</f>
        <v>12983.8709677419</v>
      </c>
      <c r="E3" s="8" t="n">
        <f aca="false">B3*D3</f>
        <v>48988.1451612903</v>
      </c>
      <c r="F3" s="9" t="n">
        <f aca="false">B3/Inputs!$B$5</f>
        <v>0.608548387096774</v>
      </c>
      <c r="G3" s="10" t="s">
        <v>8</v>
      </c>
    </row>
    <row r="4" customFormat="false" ht="15" hidden="false" customHeight="true" outlineLevel="0" collapsed="false">
      <c r="A4" s="4" t="n">
        <v>45971</v>
      </c>
      <c r="B4" s="5" t="n">
        <v>3.891</v>
      </c>
      <c r="C4" s="6" t="n">
        <f aca="false">ROUND((B4-Inputs!$B$4)/Inputs!$B$5,2)</f>
        <v>0.43</v>
      </c>
      <c r="D4" s="7" t="n">
        <f aca="false">Inputs!$B$9</f>
        <v>12983.8709677419</v>
      </c>
      <c r="E4" s="8" t="n">
        <f aca="false">B4*D4</f>
        <v>50520.2419354839</v>
      </c>
      <c r="F4" s="9" t="n">
        <f aca="false">B4/Inputs!$B$5</f>
        <v>0.62758064516129</v>
      </c>
      <c r="G4" s="10" t="s">
        <v>8</v>
      </c>
    </row>
    <row r="5" customFormat="false" ht="15" hidden="false" customHeight="true" outlineLevel="0" collapsed="false">
      <c r="A5" s="4" t="n">
        <v>45978</v>
      </c>
      <c r="B5" s="5" t="n">
        <v>3.913</v>
      </c>
      <c r="C5" s="6" t="n">
        <f aca="false">ROUND((B5-Inputs!$B$4)/Inputs!$B$5,2)</f>
        <v>0.43</v>
      </c>
      <c r="D5" s="7" t="n">
        <f aca="false">Inputs!$B$9</f>
        <v>12983.8709677419</v>
      </c>
      <c r="E5" s="8" t="n">
        <f aca="false">B5*D5</f>
        <v>50805.8870967742</v>
      </c>
      <c r="F5" s="9" t="n">
        <f aca="false">B5/Inputs!$B$5</f>
        <v>0.631129032258065</v>
      </c>
      <c r="G5" s="10" t="s">
        <v>8</v>
      </c>
    </row>
    <row r="6" customFormat="false" ht="15" hidden="false" customHeight="true" outlineLevel="0" collapsed="false">
      <c r="A6" s="4" t="n">
        <v>45985</v>
      </c>
      <c r="B6" s="5" t="n">
        <v>3.85</v>
      </c>
      <c r="C6" s="6" t="n">
        <f aca="false">ROUND((B6-Inputs!$B$4)/Inputs!$B$5,2)</f>
        <v>0.42</v>
      </c>
      <c r="D6" s="7" t="n">
        <f aca="false">Inputs!$B$9</f>
        <v>12983.8709677419</v>
      </c>
      <c r="E6" s="8" t="n">
        <f aca="false">B6*D6</f>
        <v>49987.9032258065</v>
      </c>
      <c r="F6" s="9" t="n">
        <f aca="false">B6/Inputs!$B$5</f>
        <v>0.620967741935484</v>
      </c>
      <c r="G6" s="10" t="s">
        <v>8</v>
      </c>
    </row>
    <row r="7" customFormat="false" ht="15" hidden="false" customHeight="true" outlineLevel="0" collapsed="false">
      <c r="A7" s="4" t="n">
        <v>45992</v>
      </c>
      <c r="B7" s="5" t="n">
        <v>3.755</v>
      </c>
      <c r="C7" s="6" t="n">
        <f aca="false">ROUND((B7-Inputs!$B$4)/Inputs!$B$5,2)</f>
        <v>0.4</v>
      </c>
      <c r="D7" s="7" t="n">
        <f aca="false">Inputs!$B$9</f>
        <v>12983.8709677419</v>
      </c>
      <c r="E7" s="8" t="n">
        <f aca="false">B7*D7</f>
        <v>48754.435483871</v>
      </c>
      <c r="F7" s="9" t="n">
        <f aca="false">B7/Inputs!$B$5</f>
        <v>0.605645161290323</v>
      </c>
      <c r="G7" s="10" t="s">
        <v>8</v>
      </c>
    </row>
    <row r="8" customFormat="false" ht="15" hidden="false" customHeight="true" outlineLevel="0" collapsed="false">
      <c r="A8" s="4" t="n">
        <v>45999</v>
      </c>
      <c r="B8" s="5" t="n">
        <v>3.635</v>
      </c>
      <c r="C8" s="6" t="n">
        <f aca="false">ROUND((B8-Inputs!$B$4)/Inputs!$B$5,2)</f>
        <v>0.38</v>
      </c>
      <c r="D8" s="7" t="n">
        <f aca="false">Inputs!$B$9</f>
        <v>12983.8709677419</v>
      </c>
      <c r="E8" s="8" t="n">
        <f aca="false">B8*D8</f>
        <v>47196.3709677419</v>
      </c>
      <c r="F8" s="9" t="n">
        <f aca="false">B8/Inputs!$B$5</f>
        <v>0.586290322580645</v>
      </c>
      <c r="G8" s="10" t="s">
        <v>8</v>
      </c>
    </row>
    <row r="9" customFormat="false" ht="15" hidden="false" customHeight="true" outlineLevel="0" collapsed="false">
      <c r="A9" s="4" t="n">
        <v>46006</v>
      </c>
      <c r="B9" s="5" t="n">
        <v>3.567</v>
      </c>
      <c r="C9" s="6" t="n">
        <f aca="false">ROUND((B9-Inputs!$B$4)/Inputs!$B$5,2)</f>
        <v>0.37</v>
      </c>
      <c r="D9" s="7" t="n">
        <f aca="false">Inputs!$B$9</f>
        <v>12983.8709677419</v>
      </c>
      <c r="E9" s="8" t="n">
        <f aca="false">B9*D9</f>
        <v>46313.4677419355</v>
      </c>
      <c r="F9" s="9" t="n">
        <f aca="false">B9/Inputs!$B$5</f>
        <v>0.575322580645161</v>
      </c>
      <c r="G9" s="10" t="s">
        <v>8</v>
      </c>
    </row>
    <row r="10" customFormat="false" ht="15" hidden="false" customHeight="true" outlineLevel="0" collapsed="false">
      <c r="A10" s="4" t="n">
        <v>46013</v>
      </c>
      <c r="B10" s="5" t="n">
        <v>3.483</v>
      </c>
      <c r="C10" s="6" t="n">
        <f aca="false">ROUND((B10-Inputs!$B$4)/Inputs!$B$5,2)</f>
        <v>0.36</v>
      </c>
      <c r="D10" s="7" t="n">
        <f aca="false">Inputs!$B$9</f>
        <v>12983.8709677419</v>
      </c>
      <c r="E10" s="8" t="n">
        <f aca="false">B10*D10</f>
        <v>45222.8225806452</v>
      </c>
      <c r="F10" s="9" t="n">
        <f aca="false">B10/Inputs!$B$5</f>
        <v>0.561774193548387</v>
      </c>
      <c r="G10" s="10" t="s">
        <v>8</v>
      </c>
    </row>
    <row r="11" customFormat="false" ht="15" hidden="false" customHeight="true" outlineLevel="0" collapsed="false">
      <c r="A11" s="4" t="n">
        <v>46020</v>
      </c>
      <c r="B11" s="5" t="n">
        <v>3.424</v>
      </c>
      <c r="C11" s="6" t="n">
        <f aca="false">ROUND((B11-Inputs!$B$4)/Inputs!$B$5,2)</f>
        <v>0.35</v>
      </c>
      <c r="D11" s="7" t="n">
        <f aca="false">Inputs!$B$9</f>
        <v>12983.8709677419</v>
      </c>
      <c r="E11" s="8" t="n">
        <f aca="false">B11*D11</f>
        <v>44456.7741935484</v>
      </c>
      <c r="F11" s="9" t="n">
        <f aca="false">B11/Inputs!$B$5</f>
        <v>0.552258064516129</v>
      </c>
      <c r="G11" s="10" t="s">
        <v>8</v>
      </c>
    </row>
    <row r="12" customFormat="false" ht="15" hidden="false" customHeight="true" outlineLevel="0" collapsed="false">
      <c r="A12" s="4" t="n">
        <v>46027</v>
      </c>
      <c r="B12" s="5" t="n">
        <v>3.387</v>
      </c>
      <c r="C12" s="6" t="n">
        <f aca="false">ROUND((B12-Inputs!$B$4)/Inputs!$B$5,2)</f>
        <v>0.34</v>
      </c>
      <c r="D12" s="7" t="n">
        <f aca="false">Inputs!$B$9</f>
        <v>12983.8709677419</v>
      </c>
      <c r="E12" s="8" t="n">
        <f aca="false">B12*D12</f>
        <v>43976.3709677419</v>
      </c>
      <c r="F12" s="9" t="n">
        <f aca="false">B12/Inputs!$B$5</f>
        <v>0.546290322580645</v>
      </c>
      <c r="G12" s="10" t="s">
        <v>8</v>
      </c>
    </row>
    <row r="13" customFormat="false" ht="15" hidden="false" customHeight="true" outlineLevel="0" collapsed="false">
      <c r="A13" s="4" t="n">
        <v>46034</v>
      </c>
      <c r="B13" s="5" t="n">
        <v>3.365</v>
      </c>
      <c r="C13" s="6" t="n">
        <f aca="false">ROUND((B13-Inputs!$B$4)/Inputs!$B$5,2)</f>
        <v>0.34</v>
      </c>
      <c r="D13" s="7" t="n">
        <f aca="false">Inputs!$B$9</f>
        <v>12983.8709677419</v>
      </c>
      <c r="E13" s="8" t="n">
        <f aca="false">B13*D13</f>
        <v>43690.7258064516</v>
      </c>
      <c r="F13" s="9" t="n">
        <f aca="false">B13/Inputs!$B$5</f>
        <v>0.542741935483871</v>
      </c>
      <c r="G13" s="10" t="s">
        <v>8</v>
      </c>
    </row>
    <row r="14" customFormat="false" ht="15" hidden="false" customHeight="true" outlineLevel="0" collapsed="false">
      <c r="A14" s="4" t="n">
        <v>46041</v>
      </c>
      <c r="B14" s="5" t="n">
        <v>3.445</v>
      </c>
      <c r="C14" s="6" t="n">
        <f aca="false">ROUND((B14-Inputs!$B$4)/Inputs!$B$5,2)</f>
        <v>0.35</v>
      </c>
      <c r="D14" s="7" t="n">
        <f aca="false">Inputs!$B$9</f>
        <v>12983.8709677419</v>
      </c>
      <c r="E14" s="8" t="n">
        <f aca="false">B14*D14</f>
        <v>44729.435483871</v>
      </c>
      <c r="F14" s="9" t="n">
        <f aca="false">B14/Inputs!$B$5</f>
        <v>0.555645161290323</v>
      </c>
      <c r="G14" s="10" t="s">
        <v>8</v>
      </c>
    </row>
    <row r="15" customFormat="false" ht="15" hidden="false" customHeight="true" outlineLevel="0" collapsed="false">
      <c r="A15" s="4" t="n">
        <v>46048</v>
      </c>
      <c r="B15" s="5" t="n">
        <v>3.579</v>
      </c>
      <c r="C15" s="6" t="n">
        <f aca="false">ROUND((B15-Inputs!$B$4)/Inputs!$B$5,2)</f>
        <v>0.38</v>
      </c>
      <c r="D15" s="7" t="n">
        <f aca="false">Inputs!$B$9</f>
        <v>12983.8709677419</v>
      </c>
      <c r="E15" s="8" t="n">
        <f aca="false">B15*D15</f>
        <v>46469.2741935484</v>
      </c>
      <c r="F15" s="9" t="n">
        <f aca="false">B15/Inputs!$B$5</f>
        <v>0.577258064516129</v>
      </c>
      <c r="G15" s="10" t="s">
        <v>8</v>
      </c>
    </row>
    <row r="16" customFormat="false" ht="15" hidden="false" customHeight="true" outlineLevel="0" collapsed="false">
      <c r="A16" s="4" t="n">
        <v>46055</v>
      </c>
      <c r="B16" s="5" t="n">
        <v>3.625</v>
      </c>
      <c r="C16" s="6" t="n">
        <f aca="false">ROUND((B16-Inputs!$B$4)/Inputs!$B$5,2)</f>
        <v>0.38</v>
      </c>
      <c r="D16" s="7" t="n">
        <f aca="false">Inputs!$B$9</f>
        <v>12983.8709677419</v>
      </c>
      <c r="E16" s="8" t="n">
        <f aca="false">B16*D16</f>
        <v>47066.5322580645</v>
      </c>
      <c r="F16" s="9" t="n">
        <f aca="false">B16/Inputs!$B$5</f>
        <v>0.584677419354839</v>
      </c>
      <c r="G16" s="10" t="s">
        <v>8</v>
      </c>
    </row>
    <row r="17" customFormat="false" ht="15" hidden="false" customHeight="true" outlineLevel="0" collapsed="false">
      <c r="A17" s="4" t="n">
        <v>46062</v>
      </c>
      <c r="B17" s="5" t="n">
        <v>3.636</v>
      </c>
      <c r="C17" s="6" t="n">
        <f aca="false">ROUND((B17-Inputs!$B$4)/Inputs!$B$5,2)</f>
        <v>0.38</v>
      </c>
      <c r="D17" s="7" t="n">
        <f aca="false">Inputs!$B$9</f>
        <v>12983.8709677419</v>
      </c>
      <c r="E17" s="8" t="n">
        <f aca="false">B17*D17</f>
        <v>47209.3548387097</v>
      </c>
      <c r="F17" s="9" t="n">
        <f aca="false">B17/Inputs!$B$5</f>
        <v>0.586451612903226</v>
      </c>
      <c r="G17" s="10" t="s">
        <v>8</v>
      </c>
    </row>
    <row r="18" customFormat="false" ht="15" hidden="false" customHeight="true" outlineLevel="0" collapsed="false">
      <c r="A18" s="4" t="n">
        <v>46069</v>
      </c>
      <c r="B18" s="5" t="n">
        <v>3.664</v>
      </c>
      <c r="C18" s="6" t="n">
        <f aca="false">ROUND((B18-Inputs!$B$4)/Inputs!$B$5,2)</f>
        <v>0.39</v>
      </c>
      <c r="D18" s="7" t="n">
        <f aca="false">Inputs!$B$9</f>
        <v>12983.8709677419</v>
      </c>
      <c r="E18" s="8" t="n">
        <f aca="false">B18*D18</f>
        <v>47572.9032258065</v>
      </c>
      <c r="F18" s="9" t="n">
        <f aca="false">B18/Inputs!$B$5</f>
        <v>0.590967741935484</v>
      </c>
      <c r="G18" s="10" t="s">
        <v>8</v>
      </c>
    </row>
    <row r="19" customFormat="false" ht="15" hidden="false" customHeight="true" outlineLevel="0" collapsed="false">
      <c r="A19" s="4" t="n">
        <v>46076</v>
      </c>
      <c r="B19" s="5" t="n">
        <v>3.798</v>
      </c>
      <c r="C19" s="6" t="n">
        <f aca="false">ROUND((B19-Inputs!$B$4)/Inputs!$B$5,2)</f>
        <v>0.41</v>
      </c>
      <c r="D19" s="7" t="n">
        <f aca="false">Inputs!$B$9</f>
        <v>12983.8709677419</v>
      </c>
      <c r="E19" s="8" t="n">
        <f aca="false">B19*D19</f>
        <v>49312.7419354839</v>
      </c>
      <c r="F19" s="9" t="n">
        <f aca="false">B19/Inputs!$B$5</f>
        <v>0.61258064516129</v>
      </c>
      <c r="G19" s="10" t="s">
        <v>8</v>
      </c>
    </row>
    <row r="20" customFormat="false" ht="15" hidden="false" customHeight="true" outlineLevel="0" collapsed="false">
      <c r="A20" s="4" t="n">
        <v>46083</v>
      </c>
      <c r="B20" s="5" t="n">
        <v>3.888</v>
      </c>
      <c r="C20" s="6" t="n">
        <f aca="false">ROUND((B20-Inputs!$B$4)/Inputs!$B$5,2)</f>
        <v>0.43</v>
      </c>
      <c r="D20" s="7" t="n">
        <f aca="false">Inputs!$B$9</f>
        <v>12983.8709677419</v>
      </c>
      <c r="E20" s="8" t="n">
        <f aca="false">B20*D20</f>
        <v>50481.2903225806</v>
      </c>
      <c r="F20" s="9" t="n">
        <f aca="false">B20/Inputs!$B$5</f>
        <v>0.627096774193548</v>
      </c>
      <c r="G20" s="10" t="s">
        <v>8</v>
      </c>
    </row>
    <row r="21" customFormat="false" ht="15" hidden="false" customHeight="true" outlineLevel="0" collapsed="false">
      <c r="A21" s="4" t="n">
        <v>46090</v>
      </c>
      <c r="B21" s="5" t="n">
        <v>4.801</v>
      </c>
      <c r="C21" s="6" t="n">
        <f aca="false">ROUND((B21-Inputs!$B$4)/Inputs!$B$5,2)</f>
        <v>0.57</v>
      </c>
      <c r="D21" s="7" t="n">
        <f aca="false">Inputs!$B$9</f>
        <v>12983.8709677419</v>
      </c>
      <c r="E21" s="8" t="n">
        <f aca="false">B21*D21</f>
        <v>62335.564516129</v>
      </c>
      <c r="F21" s="9" t="n">
        <f aca="false">B21/Inputs!$B$5</f>
        <v>0.774354838709678</v>
      </c>
      <c r="G21" s="10" t="s">
        <v>8</v>
      </c>
    </row>
    <row r="22" customFormat="false" ht="15" hidden="false" customHeight="true" outlineLevel="0" collapsed="false">
      <c r="A22" s="4" t="n">
        <v>46097</v>
      </c>
      <c r="B22" s="5" t="n">
        <v>4.97</v>
      </c>
      <c r="C22" s="6" t="n">
        <f aca="false">ROUND((B22-Inputs!$B$4)/Inputs!$B$5,2)</f>
        <v>0.6</v>
      </c>
      <c r="D22" s="7" t="n">
        <f aca="false">Inputs!$B$9</f>
        <v>12983.8709677419</v>
      </c>
      <c r="E22" s="8" t="n">
        <f aca="false">B22*D22</f>
        <v>64529.8387096774</v>
      </c>
      <c r="F22" s="9" t="n">
        <f aca="false">B22/Inputs!$B$5</f>
        <v>0.801612903225806</v>
      </c>
      <c r="G22" s="10" t="s">
        <v>8</v>
      </c>
    </row>
    <row r="23" customFormat="false" ht="15" hidden="false" customHeight="true" outlineLevel="0" collapsed="false">
      <c r="A23" s="4" t="n">
        <v>46104</v>
      </c>
      <c r="B23" s="5" t="n">
        <v>5.16</v>
      </c>
      <c r="C23" s="6" t="n">
        <f aca="false">ROUND((B23-Inputs!$B$4)/Inputs!$B$5,2)</f>
        <v>0.63</v>
      </c>
      <c r="D23" s="7" t="n">
        <f aca="false">Inputs!$B$9</f>
        <v>12983.8709677419</v>
      </c>
      <c r="E23" s="8" t="n">
        <f aca="false">B23*D23</f>
        <v>66996.7741935484</v>
      </c>
      <c r="F23" s="9" t="n">
        <f aca="false">B23/Inputs!$B$5</f>
        <v>0.832258064516129</v>
      </c>
      <c r="G23" s="10" t="s">
        <v>8</v>
      </c>
    </row>
    <row r="24" customFormat="false" ht="15" hidden="false" customHeight="true" outlineLevel="0" collapsed="false">
      <c r="A24" s="4" t="n">
        <v>46111</v>
      </c>
      <c r="B24" s="5" t="n">
        <v>5.105</v>
      </c>
      <c r="C24" s="6" t="n">
        <f aca="false">ROUND((B24-Inputs!$B$4)/Inputs!$B$5,2)</f>
        <v>0.62</v>
      </c>
      <c r="D24" s="7" t="n">
        <f aca="false">Inputs!$B$9</f>
        <v>12983.8709677419</v>
      </c>
      <c r="E24" s="8" t="n">
        <f aca="false">B24*D24</f>
        <v>66282.6612903226</v>
      </c>
      <c r="F24" s="9" t="n">
        <f aca="false">B24/Inputs!$B$5</f>
        <v>0.823387096774194</v>
      </c>
      <c r="G24" s="10" t="s">
        <v>8</v>
      </c>
    </row>
    <row r="25" customFormat="false" ht="15" hidden="false" customHeight="true" outlineLevel="0" collapsed="false">
      <c r="A25" s="4" t="n">
        <v>46118</v>
      </c>
      <c r="B25" s="5" t="n">
        <v>5.304</v>
      </c>
      <c r="C25" s="6" t="n">
        <f aca="false">ROUND((B25-Inputs!$B$4)/Inputs!$B$5,2)</f>
        <v>0.65</v>
      </c>
      <c r="D25" s="7" t="n">
        <f aca="false">Inputs!$B$9</f>
        <v>12983.8709677419</v>
      </c>
      <c r="E25" s="8" t="n">
        <f aca="false">B25*D25</f>
        <v>68866.4516129032</v>
      </c>
      <c r="F25" s="9" t="n">
        <f aca="false">B25/Inputs!$B$5</f>
        <v>0.855483870967742</v>
      </c>
      <c r="G25" s="10" t="s">
        <v>8</v>
      </c>
    </row>
    <row r="26" customFormat="false" ht="15" hidden="false" customHeight="true" outlineLevel="0" collapsed="false">
      <c r="A26" s="4" t="n">
        <v>46125</v>
      </c>
      <c r="B26" s="5" t="n">
        <v>5.382</v>
      </c>
      <c r="C26" s="6" t="n">
        <f aca="false">ROUND((B26-Inputs!$B$4)/Inputs!$B$5,2)</f>
        <v>0.67</v>
      </c>
      <c r="D26" s="7" t="n">
        <f aca="false">Inputs!$B$9</f>
        <v>12983.8709677419</v>
      </c>
      <c r="E26" s="8" t="n">
        <f aca="false">B26*D26</f>
        <v>69879.1935483871</v>
      </c>
      <c r="F26" s="9" t="n">
        <f aca="false">B26/Inputs!$B$5</f>
        <v>0.868064516129032</v>
      </c>
      <c r="G26" s="10" t="s">
        <v>8</v>
      </c>
    </row>
    <row r="27" customFormat="false" ht="15" hidden="false" customHeight="true" outlineLevel="0" collapsed="false">
      <c r="A27" s="4" t="n">
        <v>46132</v>
      </c>
      <c r="B27" s="5" t="n">
        <v>5.165</v>
      </c>
      <c r="C27" s="6" t="n">
        <f aca="false">ROUND((B27-Inputs!$B$4)/Inputs!$B$5,2)</f>
        <v>0.63</v>
      </c>
      <c r="D27" s="7" t="n">
        <f aca="false">Inputs!$B$9</f>
        <v>12983.8709677419</v>
      </c>
      <c r="E27" s="8" t="n">
        <f aca="false">B27*D27</f>
        <v>67061.6935483871</v>
      </c>
      <c r="F27" s="9" t="n">
        <f aca="false">B27/Inputs!$B$5</f>
        <v>0.833064516129032</v>
      </c>
      <c r="G27" s="10" t="s">
        <v>8</v>
      </c>
    </row>
    <row r="28" customFormat="false" ht="15" hidden="false" customHeight="true" outlineLevel="0" collapsed="false">
      <c r="A28" s="4" t="n">
        <v>46139</v>
      </c>
      <c r="B28" s="5" t="n">
        <v>5.131</v>
      </c>
      <c r="C28" s="6" t="n">
        <f aca="false">ROUND((B28-Inputs!$B$4)/Inputs!$B$5,2)</f>
        <v>0.63</v>
      </c>
      <c r="D28" s="7" t="n">
        <f aca="false">Inputs!$B$9</f>
        <v>12983.8709677419</v>
      </c>
      <c r="E28" s="8" t="n">
        <f aca="false">B28*D28</f>
        <v>66620.2419354839</v>
      </c>
      <c r="F28" s="9" t="n">
        <f aca="false">B28/Inputs!$B$5</f>
        <v>0.82758064516129</v>
      </c>
      <c r="G28" s="10" t="s">
        <v>8</v>
      </c>
    </row>
    <row r="29" customFormat="false" ht="15" hidden="false" customHeight="true" outlineLevel="0" collapsed="false">
      <c r="A29" s="4" t="n">
        <v>46146</v>
      </c>
      <c r="B29" s="5" t="n">
        <v>5.742</v>
      </c>
      <c r="C29" s="6" t="n">
        <f aca="false">ROUND((B29-Inputs!$B$4)/Inputs!$B$5,2)</f>
        <v>0.72</v>
      </c>
      <c r="D29" s="7" t="n">
        <f aca="false">Inputs!$B$9</f>
        <v>12983.8709677419</v>
      </c>
      <c r="E29" s="8" t="n">
        <f aca="false">B29*D29</f>
        <v>74553.3870967742</v>
      </c>
      <c r="F29" s="9" t="n">
        <f aca="false">B29/Inputs!$B$5</f>
        <v>0.926129032258065</v>
      </c>
      <c r="G29" s="10" t="s">
        <v>8</v>
      </c>
    </row>
    <row r="30" customFormat="false" ht="15" hidden="false" customHeight="true" outlineLevel="0" collapsed="false">
      <c r="A30" s="4" t="n">
        <v>46153</v>
      </c>
      <c r="B30" s="5" t="n">
        <v>5.815</v>
      </c>
      <c r="C30" s="6" t="n">
        <f aca="false">ROUND((B30-Inputs!$B$4)/Inputs!$B$5,2)</f>
        <v>0.74</v>
      </c>
      <c r="D30" s="7" t="n">
        <f aca="false">Inputs!$B$9</f>
        <v>12983.8709677419</v>
      </c>
      <c r="E30" s="8" t="n">
        <f aca="false">B30*D30</f>
        <v>75501.2096774194</v>
      </c>
      <c r="F30" s="9" t="n">
        <f aca="false">B30/Inputs!$B$5</f>
        <v>0.937903225806452</v>
      </c>
      <c r="G30" s="10" t="s">
        <v>8</v>
      </c>
    </row>
    <row r="31" customFormat="false" ht="15" hidden="false" customHeight="true" outlineLevel="0" collapsed="false">
      <c r="A31" s="4" t="n">
        <v>46160</v>
      </c>
      <c r="B31" s="5" t="n">
        <v>5.749</v>
      </c>
      <c r="C31" s="6" t="n">
        <f aca="false">ROUND((B31-Inputs!$B$4)/Inputs!$B$5,2)</f>
        <v>0.73</v>
      </c>
      <c r="D31" s="7" t="n">
        <f aca="false">Inputs!$B$9</f>
        <v>12983.8709677419</v>
      </c>
      <c r="E31" s="8" t="n">
        <f aca="false">B31*D31</f>
        <v>74644.2741935484</v>
      </c>
      <c r="F31" s="9" t="n">
        <f aca="false">B31/Inputs!$B$5</f>
        <v>0.927258064516129</v>
      </c>
      <c r="G31" s="10" t="s">
        <v>8</v>
      </c>
    </row>
    <row r="32" customFormat="false" ht="15" hidden="false" customHeight="true" outlineLevel="0" collapsed="false">
      <c r="A32" s="4" t="n">
        <v>46167</v>
      </c>
      <c r="B32" s="5" t="n">
        <v>5.623</v>
      </c>
      <c r="C32" s="6" t="n">
        <f aca="false">ROUND((B32-Inputs!$B$4)/Inputs!$B$5,2)</f>
        <v>0.71</v>
      </c>
      <c r="D32" s="7" t="n">
        <f aca="false">Inputs!$B$9</f>
        <v>12983.8709677419</v>
      </c>
      <c r="E32" s="8" t="n">
        <f aca="false">B32*D32</f>
        <v>73008.3064516129</v>
      </c>
      <c r="F32" s="9" t="n">
        <f aca="false">B32/Inputs!$B$5</f>
        <v>0.906935483870968</v>
      </c>
      <c r="G32" s="10" t="s">
        <v>8</v>
      </c>
    </row>
    <row r="33" customFormat="false" ht="15" hidden="false" customHeight="true" outlineLevel="0" collapsed="false">
      <c r="A33" s="4" t="n">
        <v>46174</v>
      </c>
      <c r="B33" s="5" t="n">
        <v>5.392</v>
      </c>
      <c r="C33" s="6" t="n">
        <f aca="false">ROUND((B33-Inputs!$B$4)/Inputs!$B$5,2)</f>
        <v>0.67</v>
      </c>
      <c r="D33" s="7" t="n">
        <f aca="false">Inputs!$B$9</f>
        <v>12983.8709677419</v>
      </c>
      <c r="E33" s="8" t="n">
        <f aca="false">B33*D33</f>
        <v>70009.0322580645</v>
      </c>
      <c r="F33" s="9" t="n">
        <f aca="false">B33/Inputs!$B$5</f>
        <v>0.869677419354839</v>
      </c>
      <c r="G33" s="10" t="s">
        <v>8</v>
      </c>
    </row>
    <row r="34" customFormat="false" ht="15" hidden="false" customHeight="true" outlineLevel="0" collapsed="false">
      <c r="A34" s="4" t="n">
        <v>46181</v>
      </c>
      <c r="B34" s="5" t="n">
        <v>5.182</v>
      </c>
      <c r="C34" s="6" t="n">
        <f aca="false">ROUND((B34-Inputs!$B$4)/Inputs!$B$5,2)</f>
        <v>0.63</v>
      </c>
      <c r="D34" s="7" t="n">
        <f aca="false">Inputs!$B$9</f>
        <v>12983.8709677419</v>
      </c>
      <c r="E34" s="8" t="n">
        <f aca="false">B34*D34</f>
        <v>67282.4193548387</v>
      </c>
      <c r="F34" s="9" t="n">
        <f aca="false">B34/Inputs!$B$5</f>
        <v>0.835806451612903</v>
      </c>
      <c r="G34" s="10" t="s">
        <v>8</v>
      </c>
    </row>
    <row r="35" customFormat="false" ht="15" hidden="false" customHeight="true" outlineLevel="0" collapsed="false">
      <c r="A35" s="4" t="n">
        <v>46188</v>
      </c>
      <c r="B35" s="5" t="n">
        <v>5.011</v>
      </c>
      <c r="C35" s="6" t="n">
        <f aca="false">ROUND((B35-Inputs!$B$4)/Inputs!$B$5,2)</f>
        <v>0.61</v>
      </c>
      <c r="D35" s="7" t="n">
        <f aca="false">Inputs!$B$9</f>
        <v>12983.8709677419</v>
      </c>
      <c r="E35" s="8" t="n">
        <f aca="false">B35*D35</f>
        <v>65062.1774193548</v>
      </c>
      <c r="F35" s="9" t="n">
        <f aca="false">B35/Inputs!$B$5</f>
        <v>0.808225806451613</v>
      </c>
      <c r="G35" s="10" t="s">
        <v>8</v>
      </c>
    </row>
    <row r="36" customFormat="false" ht="15" hidden="false" customHeight="true" outlineLevel="0" collapsed="false">
      <c r="A36" s="4" t="n">
        <v>46195</v>
      </c>
      <c r="B36" s="5" t="n">
        <v>4.751</v>
      </c>
      <c r="C36" s="6" t="n">
        <f aca="false">ROUND((B36-Inputs!$B$4)/Inputs!$B$5,2)</f>
        <v>0.56</v>
      </c>
      <c r="D36" s="7" t="n">
        <f aca="false">Inputs!$B$9</f>
        <v>12983.8709677419</v>
      </c>
      <c r="E36" s="8" t="n">
        <f aca="false">B36*D36</f>
        <v>61686.3709677419</v>
      </c>
      <c r="F36" s="9" t="n">
        <f aca="false">B36/Inputs!$B$5</f>
        <v>0.766290322580645</v>
      </c>
      <c r="G36" s="10" t="s">
        <v>8</v>
      </c>
    </row>
    <row r="37" customFormat="false" ht="15" hidden="false" customHeight="true" outlineLevel="0" collapsed="false">
      <c r="A37" s="4" t="n">
        <v>46202</v>
      </c>
      <c r="B37" s="5" t="n">
        <v>4.583</v>
      </c>
      <c r="C37" s="6" t="n">
        <f aca="false">ROUND((B37-Inputs!$B$4)/Inputs!$B$5,2)</f>
        <v>0.54</v>
      </c>
      <c r="D37" s="7" t="n">
        <f aca="false">Inputs!$B$9</f>
        <v>12983.8709677419</v>
      </c>
      <c r="E37" s="8" t="n">
        <f aca="false">B37*D37</f>
        <v>59505.0806451613</v>
      </c>
      <c r="F37" s="9" t="n">
        <f aca="false">B37/Inputs!$B$5</f>
        <v>0.739193548387097</v>
      </c>
      <c r="G37" s="10" t="s">
        <v>8</v>
      </c>
    </row>
    <row r="38" customFormat="false" ht="15" hidden="false" customHeight="true" outlineLevel="0" collapsed="false">
      <c r="A38" s="4" t="n">
        <v>46209</v>
      </c>
      <c r="B38" s="5" t="n">
        <v>4.458</v>
      </c>
      <c r="C38" s="6" t="n">
        <f aca="false">ROUND((B38-Inputs!$B$4)/Inputs!$B$5,2)</f>
        <v>0.52</v>
      </c>
      <c r="D38" s="7" t="n">
        <f aca="false">Inputs!$B$9</f>
        <v>12983.8709677419</v>
      </c>
      <c r="E38" s="8" t="n">
        <f aca="false">B38*D38</f>
        <v>57882.0967741936</v>
      </c>
      <c r="F38" s="9" t="n">
        <f aca="false">B38/Inputs!$B$5</f>
        <v>0.719032258064516</v>
      </c>
      <c r="G38" s="10" t="s">
        <v>8</v>
      </c>
    </row>
    <row r="39" customFormat="false" ht="15" hidden="false" customHeight="true" outlineLevel="0" collapsed="false">
      <c r="A39" s="4" t="n">
        <v>46216</v>
      </c>
      <c r="B39" s="5" t="n">
        <v>4.659</v>
      </c>
      <c r="C39" s="6" t="n">
        <f aca="false">ROUND((B39-Inputs!$B$4)/Inputs!$B$5,2)</f>
        <v>0.55</v>
      </c>
      <c r="D39" s="7" t="n">
        <f aca="false">Inputs!$B$9</f>
        <v>12983.8709677419</v>
      </c>
      <c r="E39" s="8" t="n">
        <f aca="false">B39*D39</f>
        <v>60491.8548387097</v>
      </c>
      <c r="F39" s="9" t="n">
        <f aca="false">B39/Inputs!$B$5</f>
        <v>0.751451612903226</v>
      </c>
      <c r="G39" s="10" t="s">
        <v>8</v>
      </c>
    </row>
    <row r="40" customFormat="false" ht="15" hidden="false" customHeight="true" outlineLevel="0" collapsed="false">
      <c r="A40" s="4" t="n">
        <v>46223</v>
      </c>
      <c r="B40" s="5" t="n">
        <v>4.988</v>
      </c>
      <c r="C40" s="6" t="n">
        <f aca="false">ROUND((B40-Inputs!$B$4)/Inputs!$B$5,2)</f>
        <v>0.6</v>
      </c>
      <c r="D40" s="7" t="n">
        <f aca="false">Inputs!$B$9</f>
        <v>12983.8709677419</v>
      </c>
      <c r="E40" s="8" t="n">
        <f aca="false">B40*D40</f>
        <v>64763.5483870968</v>
      </c>
      <c r="F40" s="9" t="n">
        <f aca="false">B40/Inputs!$B$5</f>
        <v>0.804516129032258</v>
      </c>
      <c r="G40" s="10" t="s">
        <v>8</v>
      </c>
    </row>
    <row r="41" customFormat="false" ht="15" hidden="false" customHeight="true" outlineLevel="0" collapsed="false">
      <c r="A41" s="4" t="n">
        <v>46230</v>
      </c>
      <c r="B41" s="5" t="n">
        <v>5.196</v>
      </c>
      <c r="C41" s="6" t="n">
        <f aca="false">ROUND((B41-Inputs!$B$4)/Inputs!$B$5,2)</f>
        <v>0.64</v>
      </c>
      <c r="D41" s="7" t="n">
        <f aca="false">Inputs!$B$9</f>
        <v>12983.8709677419</v>
      </c>
      <c r="E41" s="8" t="n">
        <f aca="false">B41*D41</f>
        <v>67464.1935483871</v>
      </c>
      <c r="F41" s="9" t="n">
        <f aca="false">B41/Inputs!$B$5</f>
        <v>0.838064516129032</v>
      </c>
      <c r="G41" s="10" t="s">
        <v>8</v>
      </c>
    </row>
    <row r="42" customFormat="false" ht="15" hidden="false" customHeight="true" outlineLevel="0" collapsed="false">
      <c r="A42" s="4" t="n">
        <v>46237</v>
      </c>
      <c r="B42" s="5" t="n">
        <v>5.262</v>
      </c>
      <c r="C42" s="6" t="n">
        <f aca="false">ROUND((B42-Inputs!$B$4)/Inputs!$B$5,2)</f>
        <v>0.65</v>
      </c>
      <c r="D42" s="7" t="n">
        <f aca="false">Inputs!$B$9</f>
        <v>12983.8709677419</v>
      </c>
      <c r="E42" s="8" t="n">
        <f aca="false">B42*D42</f>
        <v>68321.1290322581</v>
      </c>
      <c r="F42" s="9" t="n">
        <f aca="false">B42/Inputs!$B$5</f>
        <v>0.848709677419355</v>
      </c>
      <c r="G42" s="10" t="s">
        <v>8</v>
      </c>
    </row>
    <row r="43" customFormat="false" ht="15" hidden="false" customHeight="true" outlineLevel="0" collapsed="false">
      <c r="A43" s="4" t="n">
        <v>46244</v>
      </c>
      <c r="B43" s="5" t="n">
        <v>5.181</v>
      </c>
      <c r="C43" s="6" t="n">
        <f aca="false">ROUND((B43-Inputs!$B$4)/Inputs!$B$5,2)</f>
        <v>0.63</v>
      </c>
      <c r="D43" s="7" t="n">
        <f aca="false">Inputs!$B$9</f>
        <v>12983.8709677419</v>
      </c>
      <c r="E43" s="8" t="n">
        <f aca="false">B43*D43</f>
        <v>67269.435483871</v>
      </c>
      <c r="F43" s="9" t="n">
        <f aca="false">B43/Inputs!$B$5</f>
        <v>0.835645161290323</v>
      </c>
      <c r="G43" s="10" t="s">
        <v>8</v>
      </c>
    </row>
    <row r="44" customFormat="false" ht="15" hidden="false" customHeight="true" outlineLevel="0" collapsed="false">
      <c r="A44" s="4" t="n">
        <v>46251</v>
      </c>
      <c r="B44" s="5" t="n">
        <v>5.435</v>
      </c>
      <c r="C44" s="6" t="n">
        <f aca="false">ROUND((B44-Inputs!$B$4)/Inputs!$B$5,2)</f>
        <v>0.68</v>
      </c>
      <c r="D44" s="7" t="n">
        <f aca="false">Inputs!$B$9</f>
        <v>12983.8709677419</v>
      </c>
      <c r="E44" s="8" t="n">
        <f aca="false">B44*D44</f>
        <v>70567.3387096774</v>
      </c>
      <c r="F44" s="9" t="n">
        <f aca="false">B44/Inputs!$B$5</f>
        <v>0.876612903225806</v>
      </c>
      <c r="G44" s="10" t="s">
        <v>8</v>
      </c>
    </row>
    <row r="45" customFormat="false" ht="15" hidden="false" customHeight="true" outlineLevel="0" collapsed="false">
      <c r="A45" s="4" t="n">
        <v>46258</v>
      </c>
      <c r="B45" s="5" t="n">
        <v>5.636</v>
      </c>
      <c r="C45" s="6" t="n">
        <f aca="false">ROUND((B45-Inputs!$B$4)/Inputs!$B$5,2)</f>
        <v>0.71</v>
      </c>
      <c r="D45" s="7" t="n">
        <f aca="false">Inputs!$B$9</f>
        <v>12983.8709677419</v>
      </c>
      <c r="E45" s="8" t="n">
        <f aca="false">B45*D45</f>
        <v>73177.0967741936</v>
      </c>
      <c r="F45" s="9" t="n">
        <f aca="false">B45/Inputs!$B$5</f>
        <v>0.909032258064516</v>
      </c>
      <c r="G45" s="10" t="s">
        <v>8</v>
      </c>
    </row>
    <row r="46" customFormat="false" ht="15" hidden="false" customHeight="true" outlineLevel="0" collapsed="false">
      <c r="A46" s="4" t="n">
        <v>46265</v>
      </c>
      <c r="B46" s="5" t="n">
        <v>5.571</v>
      </c>
      <c r="C46" s="6" t="n">
        <f aca="false">ROUND((B46-Inputs!$B$4)/Inputs!$B$5,2)</f>
        <v>0.7</v>
      </c>
      <c r="D46" s="7" t="n">
        <f aca="false">Inputs!$B$9</f>
        <v>12983.8709677419</v>
      </c>
      <c r="E46" s="8" t="n">
        <f aca="false">B46*D46</f>
        <v>72333.1451612903</v>
      </c>
      <c r="F46" s="9" t="n">
        <f aca="false">B46/Inputs!$B$5</f>
        <v>0.898548387096774</v>
      </c>
      <c r="G46" s="10" t="s">
        <v>8</v>
      </c>
    </row>
    <row r="47" customFormat="false" ht="15" hidden="false" customHeight="true" outlineLevel="0" collapsed="false">
      <c r="A47" s="4" t="n">
        <v>46272</v>
      </c>
      <c r="B47" s="5" t="n">
        <v>5.946</v>
      </c>
      <c r="C47" s="6" t="n">
        <f aca="false">ROUND((B47-Inputs!$B$4)/Inputs!$B$5,2)</f>
        <v>0.76</v>
      </c>
      <c r="D47" s="7" t="n">
        <f aca="false">Inputs!$B$9</f>
        <v>12983.8709677419</v>
      </c>
      <c r="E47" s="8" t="n">
        <f aca="false">B47*D47</f>
        <v>77202.0967741936</v>
      </c>
      <c r="F47" s="9" t="n">
        <f aca="false">B47/Inputs!$B$5</f>
        <v>0.959032258064516</v>
      </c>
      <c r="G47" s="10" t="s">
        <v>8</v>
      </c>
    </row>
    <row r="48" customFormat="false" ht="15" hidden="false" customHeight="true" outlineLevel="0" collapsed="false">
      <c r="A48" s="4" t="n">
        <v>46279</v>
      </c>
      <c r="B48" s="5" t="n">
        <v>6.25</v>
      </c>
      <c r="C48" s="6" t="n">
        <f aca="false">ROUND((B48-Inputs!$B$4)/Inputs!$B$5,2)</f>
        <v>0.81</v>
      </c>
      <c r="D48" s="7" t="n">
        <f aca="false">Inputs!$B$9</f>
        <v>12983.8709677419</v>
      </c>
      <c r="E48" s="8" t="n">
        <f aca="false">B48*D48</f>
        <v>81149.1935483871</v>
      </c>
      <c r="F48" s="9" t="n">
        <f aca="false">B48/Inputs!$B$5</f>
        <v>1.00806451612903</v>
      </c>
      <c r="G48" s="10" t="s">
        <v>8</v>
      </c>
    </row>
    <row r="49" customFormat="false" ht="15" hidden="false" customHeight="true" outlineLevel="0" collapsed="false">
      <c r="A49" s="4" t="n">
        <v>46286</v>
      </c>
      <c r="B49" s="5" t="n">
        <v>6.68</v>
      </c>
      <c r="C49" s="6" t="n">
        <f aca="false">ROUND((B49-Inputs!$B$4)/Inputs!$B$5,2)</f>
        <v>0.88</v>
      </c>
      <c r="D49" s="7" t="n">
        <f aca="false">Inputs!$B$9</f>
        <v>12983.8709677419</v>
      </c>
      <c r="E49" s="8" t="n">
        <f aca="false">B49*D49</f>
        <v>86732.2580645161</v>
      </c>
      <c r="F49" s="9" t="n">
        <f aca="false">B49/Inputs!$B$5</f>
        <v>1.07741935483871</v>
      </c>
      <c r="G49" s="10" t="s">
        <v>8</v>
      </c>
    </row>
    <row r="50" customFormat="false" ht="15" hidden="false" customHeight="true" outlineLevel="0" collapsed="false">
      <c r="A50" s="4" t="n">
        <v>46293</v>
      </c>
      <c r="B50" s="5" t="n">
        <v>6.526</v>
      </c>
      <c r="C50" s="6" t="n">
        <f aca="false">ROUND((B50-Inputs!$B$4)/Inputs!$B$5,2)</f>
        <v>0.85</v>
      </c>
      <c r="D50" s="7" t="n">
        <f aca="false">Inputs!$B$9</f>
        <v>12983.8709677419</v>
      </c>
      <c r="E50" s="8" t="n">
        <f aca="false">B50*D50</f>
        <v>84732.7419354839</v>
      </c>
      <c r="F50" s="9" t="n">
        <f aca="false">B50/Inputs!$B$5</f>
        <v>1.05258064516129</v>
      </c>
      <c r="G50" s="10" t="s">
        <v>8</v>
      </c>
    </row>
    <row r="51" customFormat="false" ht="15" hidden="false" customHeight="true" outlineLevel="0" collapsed="false">
      <c r="A51" s="4" t="n">
        <v>46300</v>
      </c>
      <c r="B51" s="5" t="n">
        <v>6.286</v>
      </c>
      <c r="C51" s="6" t="n">
        <f aca="false">ROUND((B51-Inputs!$B$4)/Inputs!$B$5,2)</f>
        <v>0.81</v>
      </c>
      <c r="D51" s="7" t="n">
        <f aca="false">Inputs!$B$9</f>
        <v>12983.8709677419</v>
      </c>
      <c r="E51" s="8" t="n">
        <f aca="false">B51*D51</f>
        <v>81616.6129032258</v>
      </c>
      <c r="F51" s="9" t="n">
        <f aca="false">B51/Inputs!$B$5</f>
        <v>1.01387096774194</v>
      </c>
      <c r="G51" s="10" t="s">
        <v>8</v>
      </c>
    </row>
    <row r="52" customFormat="false" ht="15" hidden="false" customHeight="true" outlineLevel="0" collapsed="false">
      <c r="A52" s="4" t="n">
        <v>46307</v>
      </c>
      <c r="B52" s="5" t="n">
        <v>6.259</v>
      </c>
      <c r="C52" s="6" t="n">
        <f aca="false">ROUND((B52-Inputs!$B$4)/Inputs!$B$5,2)</f>
        <v>0.81</v>
      </c>
      <c r="D52" s="7" t="n">
        <f aca="false">Inputs!$B$9</f>
        <v>12983.8709677419</v>
      </c>
      <c r="E52" s="8" t="n">
        <f aca="false">B52*D52</f>
        <v>81266.0483870968</v>
      </c>
      <c r="F52" s="9" t="n">
        <f aca="false">B52/Inputs!$B$5</f>
        <v>1.00951612903226</v>
      </c>
      <c r="G52" s="10" t="s">
        <v>8</v>
      </c>
    </row>
    <row r="53" customFormat="false" ht="15" hidden="false" customHeight="true" outlineLevel="0" collapsed="false">
      <c r="A53" s="4" t="n">
        <v>46314</v>
      </c>
      <c r="B53" s="5" t="n">
        <v>6.352</v>
      </c>
      <c r="C53" s="6" t="n">
        <f aca="false">ROUND((B53-Inputs!$B$4)/Inputs!$B$5,2)</f>
        <v>0.82</v>
      </c>
      <c r="D53" s="7" t="n">
        <f aca="false">Inputs!$B$9</f>
        <v>12983.8709677419</v>
      </c>
      <c r="E53" s="8" t="n">
        <f aca="false">B53*D53</f>
        <v>82473.5483870968</v>
      </c>
      <c r="F53" s="9" t="n">
        <f aca="false">B53/Inputs!$B$5</f>
        <v>1.02451612903226</v>
      </c>
      <c r="G53" s="1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11" t="s">
        <v>9</v>
      </c>
      <c r="B1" s="10"/>
      <c r="C1" s="10"/>
    </row>
    <row r="2" customFormat="false" ht="15" hidden="false" customHeight="true" outlineLevel="0" collapsed="false">
      <c r="A2" s="3" t="s">
        <v>10</v>
      </c>
      <c r="B2" s="10"/>
      <c r="C2" s="10"/>
    </row>
    <row r="3" customFormat="false" ht="15" hidden="false" customHeight="true" outlineLevel="0" collapsed="false">
      <c r="A3" s="12" t="s">
        <v>11</v>
      </c>
      <c r="B3" s="12" t="s">
        <v>12</v>
      </c>
      <c r="C3" s="12" t="s">
        <v>13</v>
      </c>
    </row>
    <row r="4" customFormat="false" ht="15" hidden="false" customHeight="true" outlineLevel="0" collapsed="false">
      <c r="A4" s="10" t="s">
        <v>14</v>
      </c>
      <c r="B4" s="13" t="n">
        <v>1.25</v>
      </c>
      <c r="C4" s="10" t="s">
        <v>15</v>
      </c>
    </row>
    <row r="5" customFormat="false" ht="15" hidden="false" customHeight="true" outlineLevel="0" collapsed="false">
      <c r="A5" s="10" t="s">
        <v>16</v>
      </c>
      <c r="B5" s="13" t="n">
        <v>6.2</v>
      </c>
      <c r="C5" s="10" t="s">
        <v>17</v>
      </c>
    </row>
    <row r="6" customFormat="false" ht="15" hidden="false" customHeight="true" outlineLevel="0" collapsed="false">
      <c r="A6" s="10" t="s">
        <v>18</v>
      </c>
      <c r="B6" s="13" t="n">
        <v>35</v>
      </c>
      <c r="C6" s="10" t="s">
        <v>19</v>
      </c>
    </row>
    <row r="7" customFormat="false" ht="15" hidden="false" customHeight="true" outlineLevel="0" collapsed="false">
      <c r="A7" s="10" t="s">
        <v>20</v>
      </c>
      <c r="B7" s="13" t="n">
        <v>2300</v>
      </c>
      <c r="C7" s="10" t="s">
        <v>19</v>
      </c>
    </row>
    <row r="8" customFormat="false" ht="15" hidden="false" customHeight="true" outlineLevel="0" collapsed="false">
      <c r="A8" s="10" t="s">
        <v>21</v>
      </c>
      <c r="B8" s="14" t="n">
        <f aca="false">B6*B7</f>
        <v>80500</v>
      </c>
      <c r="C8" s="10" t="s">
        <v>22</v>
      </c>
    </row>
    <row r="9" customFormat="false" ht="15" hidden="false" customHeight="true" outlineLevel="0" collapsed="false">
      <c r="A9" s="10" t="s">
        <v>23</v>
      </c>
      <c r="B9" s="7" t="n">
        <f aca="false">B8/B5</f>
        <v>12983.8709677419</v>
      </c>
      <c r="C9" s="10" t="s">
        <v>24</v>
      </c>
    </row>
    <row r="10" customFormat="false" ht="15" hidden="false" customHeight="true" outlineLevel="0" collapsed="false">
      <c r="A10" s="10"/>
      <c r="B10" s="10"/>
      <c r="C10" s="10"/>
    </row>
    <row r="11" customFormat="false" ht="15" hidden="false" customHeight="true" outlineLevel="0" collapsed="false">
      <c r="A11" s="15" t="s">
        <v>25</v>
      </c>
      <c r="B11" s="10"/>
      <c r="C11" s="10"/>
    </row>
    <row r="12" customFormat="false" ht="15" hidden="false" customHeight="true" outlineLevel="0" collapsed="false">
      <c r="A12" s="10" t="s">
        <v>26</v>
      </c>
      <c r="B12" s="10"/>
      <c r="C12" s="10"/>
    </row>
    <row r="13" customFormat="false" ht="15" hidden="false" customHeight="true" outlineLevel="0" collapsed="false">
      <c r="A13" s="10" t="s">
        <v>27</v>
      </c>
      <c r="B13" s="10"/>
      <c r="C13" s="10"/>
    </row>
    <row r="14" customFormat="false" ht="15" hidden="false" customHeight="true" outlineLevel="0" collapsed="false">
      <c r="A14" s="10" t="s">
        <v>28</v>
      </c>
      <c r="B14" s="10"/>
      <c r="C14" s="10"/>
    </row>
    <row r="15" customFormat="false" ht="15" hidden="false" customHeight="true" outlineLevel="0" collapsed="false">
      <c r="A15" s="10" t="s">
        <v>29</v>
      </c>
      <c r="B15" s="10"/>
      <c r="C15" s="10"/>
    </row>
    <row r="16" customFormat="false" ht="15" hidden="false" customHeight="true" outlineLevel="0" collapsed="false">
      <c r="A16" s="10" t="s">
        <v>30</v>
      </c>
      <c r="B16" s="10"/>
      <c r="C16" s="10"/>
    </row>
    <row r="17" customFormat="false" ht="15" hidden="false" customHeight="true" outlineLevel="0" collapsed="false">
      <c r="A17" s="10" t="s">
        <v>31</v>
      </c>
      <c r="B17" s="10"/>
      <c r="C17" s="10"/>
    </row>
    <row r="18" customFormat="false" ht="15" hidden="false" customHeight="true" outlineLevel="0" collapsed="false">
      <c r="A18" s="10" t="s">
        <v>32</v>
      </c>
      <c r="B18" s="10"/>
      <c r="C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5" min="4" style="1" width="16"/>
    <col collapsed="false" customWidth="true" hidden="false" outlineLevel="0" max="7" min="7" style="1" width="26"/>
    <col collapsed="false" customWidth="true" hidden="false" outlineLevel="0" max="8" min="8" style="1" width="10"/>
  </cols>
  <sheetData>
    <row r="1" customFormat="false" ht="15" hidden="false" customHeight="true" outlineLevel="0" collapsed="false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G1" s="10" t="s">
        <v>38</v>
      </c>
      <c r="H1" s="13" t="n">
        <v>3</v>
      </c>
    </row>
    <row r="2" customFormat="false" ht="15" hidden="false" customHeight="true" outlineLevel="0" collapsed="false">
      <c r="A2" s="10" t="n">
        <v>1</v>
      </c>
      <c r="B2" s="6" t="n">
        <f aca="false">$H$1</f>
        <v>3</v>
      </c>
      <c r="C2" s="6" t="n">
        <f aca="false">ROUND(B2+$H$2,2)</f>
        <v>3.05</v>
      </c>
      <c r="D2" s="5" t="n">
        <f aca="false">ROUND((B2+C2)/2,3)</f>
        <v>3.025</v>
      </c>
      <c r="E2" s="6" t="n">
        <f aca="false">ROUND((D2-Inputs!$B$4)/Inputs!$B$5,2)</f>
        <v>0.29</v>
      </c>
      <c r="G2" s="10" t="s">
        <v>39</v>
      </c>
      <c r="H2" s="13" t="n">
        <v>0.05</v>
      </c>
    </row>
    <row r="3" customFormat="false" ht="15" hidden="false" customHeight="true" outlineLevel="0" collapsed="false">
      <c r="A3" s="10" t="n">
        <v>2</v>
      </c>
      <c r="B3" s="6" t="n">
        <f aca="false">C2</f>
        <v>3.05</v>
      </c>
      <c r="C3" s="6" t="n">
        <f aca="false">ROUND(B3+$H$2,2)</f>
        <v>3.1</v>
      </c>
      <c r="D3" s="5" t="n">
        <f aca="false">ROUND((B3+C3)/2,3)</f>
        <v>3.075</v>
      </c>
      <c r="E3" s="6" t="n">
        <f aca="false">ROUND((D3-Inputs!$B$4)/Inputs!$B$5,2)</f>
        <v>0.29</v>
      </c>
      <c r="G3" s="10" t="s">
        <v>40</v>
      </c>
    </row>
    <row r="4" customFormat="false" ht="15" hidden="false" customHeight="true" outlineLevel="0" collapsed="false">
      <c r="A4" s="10" t="n">
        <v>3</v>
      </c>
      <c r="B4" s="6" t="n">
        <f aca="false">C3</f>
        <v>3.1</v>
      </c>
      <c r="C4" s="6" t="n">
        <f aca="false">ROUND(B4+$H$2,2)</f>
        <v>3.15</v>
      </c>
      <c r="D4" s="5" t="n">
        <f aca="false">ROUND((B4+C4)/2,3)</f>
        <v>3.125</v>
      </c>
      <c r="E4" s="6" t="n">
        <f aca="false">ROUND((D4-Inputs!$B$4)/Inputs!$B$5,2)</f>
        <v>0.3</v>
      </c>
    </row>
    <row r="5" customFormat="false" ht="15" hidden="false" customHeight="true" outlineLevel="0" collapsed="false">
      <c r="A5" s="10" t="n">
        <v>4</v>
      </c>
      <c r="B5" s="6" t="n">
        <f aca="false">C4</f>
        <v>3.15</v>
      </c>
      <c r="C5" s="6" t="n">
        <f aca="false">ROUND(B5+$H$2,2)</f>
        <v>3.2</v>
      </c>
      <c r="D5" s="5" t="n">
        <f aca="false">ROUND((B5+C5)/2,3)</f>
        <v>3.175</v>
      </c>
      <c r="E5" s="6" t="n">
        <f aca="false">ROUND((D5-Inputs!$B$4)/Inputs!$B$5,2)</f>
        <v>0.31</v>
      </c>
    </row>
    <row r="6" customFormat="false" ht="15" hidden="false" customHeight="true" outlineLevel="0" collapsed="false">
      <c r="A6" s="10" t="n">
        <v>5</v>
      </c>
      <c r="B6" s="6" t="n">
        <f aca="false">C5</f>
        <v>3.2</v>
      </c>
      <c r="C6" s="6" t="n">
        <f aca="false">ROUND(B6+$H$2,2)</f>
        <v>3.25</v>
      </c>
      <c r="D6" s="5" t="n">
        <f aca="false">ROUND((B6+C6)/2,3)</f>
        <v>3.225</v>
      </c>
      <c r="E6" s="6" t="n">
        <f aca="false">ROUND((D6-Inputs!$B$4)/Inputs!$B$5,2)</f>
        <v>0.32</v>
      </c>
    </row>
    <row r="7" customFormat="false" ht="15" hidden="false" customHeight="true" outlineLevel="0" collapsed="false">
      <c r="A7" s="10" t="n">
        <v>6</v>
      </c>
      <c r="B7" s="6" t="n">
        <f aca="false">C6</f>
        <v>3.25</v>
      </c>
      <c r="C7" s="6" t="n">
        <f aca="false">ROUND(B7+$H$2,2)</f>
        <v>3.3</v>
      </c>
      <c r="D7" s="5" t="n">
        <f aca="false">ROUND((B7+C7)/2,3)</f>
        <v>3.275</v>
      </c>
      <c r="E7" s="6" t="n">
        <f aca="false">ROUND((D7-Inputs!$B$4)/Inputs!$B$5,2)</f>
        <v>0.33</v>
      </c>
    </row>
    <row r="8" customFormat="false" ht="15" hidden="false" customHeight="true" outlineLevel="0" collapsed="false">
      <c r="A8" s="10" t="n">
        <v>7</v>
      </c>
      <c r="B8" s="6" t="n">
        <f aca="false">C7</f>
        <v>3.3</v>
      </c>
      <c r="C8" s="6" t="n">
        <f aca="false">ROUND(B8+$H$2,2)</f>
        <v>3.35</v>
      </c>
      <c r="D8" s="5" t="n">
        <f aca="false">ROUND((B8+C8)/2,3)</f>
        <v>3.325</v>
      </c>
      <c r="E8" s="6" t="n">
        <f aca="false">ROUND((D8-Inputs!$B$4)/Inputs!$B$5,2)</f>
        <v>0.33</v>
      </c>
    </row>
    <row r="9" customFormat="false" ht="15" hidden="false" customHeight="true" outlineLevel="0" collapsed="false">
      <c r="A9" s="10" t="n">
        <v>8</v>
      </c>
      <c r="B9" s="6" t="n">
        <f aca="false">C8</f>
        <v>3.35</v>
      </c>
      <c r="C9" s="6" t="n">
        <f aca="false">ROUND(B9+$H$2,2)</f>
        <v>3.4</v>
      </c>
      <c r="D9" s="5" t="n">
        <f aca="false">ROUND((B9+C9)/2,3)</f>
        <v>3.375</v>
      </c>
      <c r="E9" s="6" t="n">
        <f aca="false">ROUND((D9-Inputs!$B$4)/Inputs!$B$5,2)</f>
        <v>0.34</v>
      </c>
    </row>
    <row r="10" customFormat="false" ht="15" hidden="false" customHeight="true" outlineLevel="0" collapsed="false">
      <c r="A10" s="10" t="n">
        <v>9</v>
      </c>
      <c r="B10" s="6" t="n">
        <f aca="false">C9</f>
        <v>3.4</v>
      </c>
      <c r="C10" s="6" t="n">
        <f aca="false">ROUND(B10+$H$2,2)</f>
        <v>3.45</v>
      </c>
      <c r="D10" s="5" t="n">
        <f aca="false">ROUND((B10+C10)/2,3)</f>
        <v>3.425</v>
      </c>
      <c r="E10" s="6" t="n">
        <f aca="false">ROUND((D10-Inputs!$B$4)/Inputs!$B$5,2)</f>
        <v>0.35</v>
      </c>
    </row>
    <row r="11" customFormat="false" ht="15" hidden="false" customHeight="true" outlineLevel="0" collapsed="false">
      <c r="A11" s="10" t="n">
        <v>10</v>
      </c>
      <c r="B11" s="6" t="n">
        <f aca="false">C10</f>
        <v>3.45</v>
      </c>
      <c r="C11" s="6" t="n">
        <f aca="false">ROUND(B11+$H$2,2)</f>
        <v>3.5</v>
      </c>
      <c r="D11" s="5" t="n">
        <f aca="false">ROUND((B11+C11)/2,3)</f>
        <v>3.475</v>
      </c>
      <c r="E11" s="6" t="n">
        <f aca="false">ROUND((D11-Inputs!$B$4)/Inputs!$B$5,2)</f>
        <v>0.36</v>
      </c>
    </row>
    <row r="12" customFormat="false" ht="15" hidden="false" customHeight="true" outlineLevel="0" collapsed="false">
      <c r="A12" s="10" t="n">
        <v>11</v>
      </c>
      <c r="B12" s="6" t="n">
        <f aca="false">C11</f>
        <v>3.5</v>
      </c>
      <c r="C12" s="6" t="n">
        <f aca="false">ROUND(B12+$H$2,2)</f>
        <v>3.55</v>
      </c>
      <c r="D12" s="5" t="n">
        <f aca="false">ROUND((B12+C12)/2,3)</f>
        <v>3.525</v>
      </c>
      <c r="E12" s="6" t="n">
        <f aca="false">ROUND((D12-Inputs!$B$4)/Inputs!$B$5,2)</f>
        <v>0.37</v>
      </c>
    </row>
    <row r="13" customFormat="false" ht="15" hidden="false" customHeight="true" outlineLevel="0" collapsed="false">
      <c r="A13" s="10" t="n">
        <v>12</v>
      </c>
      <c r="B13" s="6" t="n">
        <f aca="false">C12</f>
        <v>3.55</v>
      </c>
      <c r="C13" s="6" t="n">
        <f aca="false">ROUND(B13+$H$2,2)</f>
        <v>3.6</v>
      </c>
      <c r="D13" s="5" t="n">
        <f aca="false">ROUND((B13+C13)/2,3)</f>
        <v>3.575</v>
      </c>
      <c r="E13" s="6" t="n">
        <f aca="false">ROUND((D13-Inputs!$B$4)/Inputs!$B$5,2)</f>
        <v>0.38</v>
      </c>
    </row>
    <row r="14" customFormat="false" ht="15" hidden="false" customHeight="true" outlineLevel="0" collapsed="false">
      <c r="A14" s="10" t="n">
        <v>13</v>
      </c>
      <c r="B14" s="6" t="n">
        <f aca="false">C13</f>
        <v>3.6</v>
      </c>
      <c r="C14" s="6" t="n">
        <f aca="false">ROUND(B14+$H$2,2)</f>
        <v>3.65</v>
      </c>
      <c r="D14" s="5" t="n">
        <f aca="false">ROUND((B14+C14)/2,3)</f>
        <v>3.625</v>
      </c>
      <c r="E14" s="6" t="n">
        <f aca="false">ROUND((D14-Inputs!$B$4)/Inputs!$B$5,2)</f>
        <v>0.38</v>
      </c>
    </row>
    <row r="15" customFormat="false" ht="15" hidden="false" customHeight="true" outlineLevel="0" collapsed="false">
      <c r="A15" s="10" t="n">
        <v>14</v>
      </c>
      <c r="B15" s="6" t="n">
        <f aca="false">C14</f>
        <v>3.65</v>
      </c>
      <c r="C15" s="6" t="n">
        <f aca="false">ROUND(B15+$H$2,2)</f>
        <v>3.7</v>
      </c>
      <c r="D15" s="5" t="n">
        <f aca="false">ROUND((B15+C15)/2,3)</f>
        <v>3.675</v>
      </c>
      <c r="E15" s="6" t="n">
        <f aca="false">ROUND((D15-Inputs!$B$4)/Inputs!$B$5,2)</f>
        <v>0.39</v>
      </c>
    </row>
    <row r="16" customFormat="false" ht="15" hidden="false" customHeight="true" outlineLevel="0" collapsed="false">
      <c r="A16" s="10" t="n">
        <v>15</v>
      </c>
      <c r="B16" s="6" t="n">
        <f aca="false">C15</f>
        <v>3.7</v>
      </c>
      <c r="C16" s="6" t="n">
        <f aca="false">ROUND(B16+$H$2,2)</f>
        <v>3.75</v>
      </c>
      <c r="D16" s="5" t="n">
        <f aca="false">ROUND((B16+C16)/2,3)</f>
        <v>3.725</v>
      </c>
      <c r="E16" s="6" t="n">
        <f aca="false">ROUND((D16-Inputs!$B$4)/Inputs!$B$5,2)</f>
        <v>0.4</v>
      </c>
    </row>
    <row r="17" customFormat="false" ht="15" hidden="false" customHeight="true" outlineLevel="0" collapsed="false">
      <c r="A17" s="10" t="n">
        <v>16</v>
      </c>
      <c r="B17" s="6" t="n">
        <f aca="false">C16</f>
        <v>3.75</v>
      </c>
      <c r="C17" s="6" t="n">
        <f aca="false">ROUND(B17+$H$2,2)</f>
        <v>3.8</v>
      </c>
      <c r="D17" s="5" t="n">
        <f aca="false">ROUND((B17+C17)/2,3)</f>
        <v>3.775</v>
      </c>
      <c r="E17" s="6" t="n">
        <f aca="false">ROUND((D17-Inputs!$B$4)/Inputs!$B$5,2)</f>
        <v>0.41</v>
      </c>
    </row>
    <row r="18" customFormat="false" ht="15" hidden="false" customHeight="true" outlineLevel="0" collapsed="false">
      <c r="A18" s="10" t="n">
        <v>17</v>
      </c>
      <c r="B18" s="6" t="n">
        <f aca="false">C17</f>
        <v>3.8</v>
      </c>
      <c r="C18" s="6" t="n">
        <f aca="false">ROUND(B18+$H$2,2)</f>
        <v>3.85</v>
      </c>
      <c r="D18" s="5" t="n">
        <f aca="false">ROUND((B18+C18)/2,3)</f>
        <v>3.825</v>
      </c>
      <c r="E18" s="6" t="n">
        <f aca="false">ROUND((D18-Inputs!$B$4)/Inputs!$B$5,2)</f>
        <v>0.42</v>
      </c>
    </row>
    <row r="19" customFormat="false" ht="15" hidden="false" customHeight="true" outlineLevel="0" collapsed="false">
      <c r="A19" s="10" t="n">
        <v>18</v>
      </c>
      <c r="B19" s="6" t="n">
        <f aca="false">C18</f>
        <v>3.85</v>
      </c>
      <c r="C19" s="6" t="n">
        <f aca="false">ROUND(B19+$H$2,2)</f>
        <v>3.9</v>
      </c>
      <c r="D19" s="5" t="n">
        <f aca="false">ROUND((B19+C19)/2,3)</f>
        <v>3.875</v>
      </c>
      <c r="E19" s="6" t="n">
        <f aca="false">ROUND((D19-Inputs!$B$4)/Inputs!$B$5,2)</f>
        <v>0.42</v>
      </c>
    </row>
    <row r="20" customFormat="false" ht="15" hidden="false" customHeight="true" outlineLevel="0" collapsed="false">
      <c r="A20" s="10" t="n">
        <v>19</v>
      </c>
      <c r="B20" s="6" t="n">
        <f aca="false">C19</f>
        <v>3.9</v>
      </c>
      <c r="C20" s="6" t="n">
        <f aca="false">ROUND(B20+$H$2,2)</f>
        <v>3.95</v>
      </c>
      <c r="D20" s="5" t="n">
        <f aca="false">ROUND((B20+C20)/2,3)</f>
        <v>3.925</v>
      </c>
      <c r="E20" s="6" t="n">
        <f aca="false">ROUND((D20-Inputs!$B$4)/Inputs!$B$5,2)</f>
        <v>0.43</v>
      </c>
    </row>
    <row r="21" customFormat="false" ht="15" hidden="false" customHeight="true" outlineLevel="0" collapsed="false">
      <c r="A21" s="10" t="n">
        <v>20</v>
      </c>
      <c r="B21" s="6" t="n">
        <f aca="false">C20</f>
        <v>3.95</v>
      </c>
      <c r="C21" s="6" t="n">
        <f aca="false">ROUND(B21+$H$2,2)</f>
        <v>4</v>
      </c>
      <c r="D21" s="5" t="n">
        <f aca="false">ROUND((B21+C21)/2,3)</f>
        <v>3.975</v>
      </c>
      <c r="E21" s="6" t="n">
        <f aca="false">ROUND((D21-Inputs!$B$4)/Inputs!$B$5,2)</f>
        <v>0.44</v>
      </c>
    </row>
    <row r="22" customFormat="false" ht="15" hidden="false" customHeight="true" outlineLevel="0" collapsed="false">
      <c r="A22" s="10" t="n">
        <v>21</v>
      </c>
      <c r="B22" s="6" t="n">
        <f aca="false">C21</f>
        <v>4</v>
      </c>
      <c r="C22" s="6" t="n">
        <f aca="false">ROUND(B22+$H$2,2)</f>
        <v>4.05</v>
      </c>
      <c r="D22" s="5" t="n">
        <f aca="false">ROUND((B22+C22)/2,3)</f>
        <v>4.025</v>
      </c>
      <c r="E22" s="6" t="n">
        <f aca="false">ROUND((D22-Inputs!$B$4)/Inputs!$B$5,2)</f>
        <v>0.45</v>
      </c>
    </row>
    <row r="23" customFormat="false" ht="15" hidden="false" customHeight="true" outlineLevel="0" collapsed="false">
      <c r="A23" s="10" t="n">
        <v>22</v>
      </c>
      <c r="B23" s="6" t="n">
        <f aca="false">C22</f>
        <v>4.05</v>
      </c>
      <c r="C23" s="6" t="n">
        <f aca="false">ROUND(B23+$H$2,2)</f>
        <v>4.1</v>
      </c>
      <c r="D23" s="5" t="n">
        <f aca="false">ROUND((B23+C23)/2,3)</f>
        <v>4.075</v>
      </c>
      <c r="E23" s="6" t="n">
        <f aca="false">ROUND((D23-Inputs!$B$4)/Inputs!$B$5,2)</f>
        <v>0.46</v>
      </c>
    </row>
    <row r="24" customFormat="false" ht="15" hidden="false" customHeight="true" outlineLevel="0" collapsed="false">
      <c r="A24" s="10" t="n">
        <v>23</v>
      </c>
      <c r="B24" s="6" t="n">
        <f aca="false">C23</f>
        <v>4.1</v>
      </c>
      <c r="C24" s="6" t="n">
        <f aca="false">ROUND(B24+$H$2,2)</f>
        <v>4.15</v>
      </c>
      <c r="D24" s="5" t="n">
        <f aca="false">ROUND((B24+C24)/2,3)</f>
        <v>4.125</v>
      </c>
      <c r="E24" s="6" t="n">
        <f aca="false">ROUND((D24-Inputs!$B$4)/Inputs!$B$5,2)</f>
        <v>0.46</v>
      </c>
    </row>
    <row r="25" customFormat="false" ht="15" hidden="false" customHeight="true" outlineLevel="0" collapsed="false">
      <c r="A25" s="10" t="n">
        <v>24</v>
      </c>
      <c r="B25" s="6" t="n">
        <f aca="false">C24</f>
        <v>4.15</v>
      </c>
      <c r="C25" s="6" t="n">
        <f aca="false">ROUND(B25+$H$2,2)</f>
        <v>4.2</v>
      </c>
      <c r="D25" s="5" t="n">
        <f aca="false">ROUND((B25+C25)/2,3)</f>
        <v>4.175</v>
      </c>
      <c r="E25" s="6" t="n">
        <f aca="false">ROUND((D25-Inputs!$B$4)/Inputs!$B$5,2)</f>
        <v>0.47</v>
      </c>
    </row>
    <row r="26" customFormat="false" ht="15" hidden="false" customHeight="true" outlineLevel="0" collapsed="false">
      <c r="A26" s="10" t="n">
        <v>25</v>
      </c>
      <c r="B26" s="6" t="n">
        <f aca="false">C25</f>
        <v>4.2</v>
      </c>
      <c r="C26" s="6" t="n">
        <f aca="false">ROUND(B26+$H$2,2)</f>
        <v>4.25</v>
      </c>
      <c r="D26" s="5" t="n">
        <f aca="false">ROUND((B26+C26)/2,3)</f>
        <v>4.225</v>
      </c>
      <c r="E26" s="6" t="n">
        <f aca="false">ROUND((D26-Inputs!$B$4)/Inputs!$B$5,2)</f>
        <v>0.48</v>
      </c>
    </row>
    <row r="27" customFormat="false" ht="15" hidden="false" customHeight="true" outlineLevel="0" collapsed="false">
      <c r="A27" s="10" t="n">
        <v>26</v>
      </c>
      <c r="B27" s="6" t="n">
        <f aca="false">C26</f>
        <v>4.25</v>
      </c>
      <c r="C27" s="6" t="n">
        <f aca="false">ROUND(B27+$H$2,2)</f>
        <v>4.3</v>
      </c>
      <c r="D27" s="5" t="n">
        <f aca="false">ROUND((B27+C27)/2,3)</f>
        <v>4.275</v>
      </c>
      <c r="E27" s="6" t="n">
        <f aca="false">ROUND((D27-Inputs!$B$4)/Inputs!$B$5,2)</f>
        <v>0.49</v>
      </c>
    </row>
    <row r="28" customFormat="false" ht="15" hidden="false" customHeight="true" outlineLevel="0" collapsed="false">
      <c r="A28" s="10" t="n">
        <v>27</v>
      </c>
      <c r="B28" s="6" t="n">
        <f aca="false">C27</f>
        <v>4.3</v>
      </c>
      <c r="C28" s="6" t="n">
        <f aca="false">ROUND(B28+$H$2,2)</f>
        <v>4.35</v>
      </c>
      <c r="D28" s="5" t="n">
        <f aca="false">ROUND((B28+C28)/2,3)</f>
        <v>4.325</v>
      </c>
      <c r="E28" s="6" t="n">
        <f aca="false">ROUND((D28-Inputs!$B$4)/Inputs!$B$5,2)</f>
        <v>0.5</v>
      </c>
    </row>
    <row r="29" customFormat="false" ht="15" hidden="false" customHeight="true" outlineLevel="0" collapsed="false">
      <c r="A29" s="10" t="n">
        <v>28</v>
      </c>
      <c r="B29" s="6" t="n">
        <f aca="false">C28</f>
        <v>4.35</v>
      </c>
      <c r="C29" s="6" t="n">
        <f aca="false">ROUND(B29+$H$2,2)</f>
        <v>4.4</v>
      </c>
      <c r="D29" s="5" t="n">
        <f aca="false">ROUND((B29+C29)/2,3)</f>
        <v>4.375</v>
      </c>
      <c r="E29" s="6" t="n">
        <f aca="false">ROUND((D29-Inputs!$B$4)/Inputs!$B$5,2)</f>
        <v>0.5</v>
      </c>
    </row>
    <row r="30" customFormat="false" ht="15" hidden="false" customHeight="true" outlineLevel="0" collapsed="false">
      <c r="A30" s="10" t="n">
        <v>29</v>
      </c>
      <c r="B30" s="6" t="n">
        <f aca="false">C29</f>
        <v>4.4</v>
      </c>
      <c r="C30" s="6" t="n">
        <f aca="false">ROUND(B30+$H$2,2)</f>
        <v>4.45</v>
      </c>
      <c r="D30" s="5" t="n">
        <f aca="false">ROUND((B30+C30)/2,3)</f>
        <v>4.425</v>
      </c>
      <c r="E30" s="6" t="n">
        <f aca="false">ROUND((D30-Inputs!$B$4)/Inputs!$B$5,2)</f>
        <v>0.51</v>
      </c>
    </row>
    <row r="31" customFormat="false" ht="15" hidden="false" customHeight="true" outlineLevel="0" collapsed="false">
      <c r="A31" s="10" t="n">
        <v>30</v>
      </c>
      <c r="B31" s="6" t="n">
        <f aca="false">C30</f>
        <v>4.45</v>
      </c>
      <c r="C31" s="6" t="n">
        <f aca="false">ROUND(B31+$H$2,2)</f>
        <v>4.5</v>
      </c>
      <c r="D31" s="5" t="n">
        <f aca="false">ROUND((B31+C31)/2,3)</f>
        <v>4.475</v>
      </c>
      <c r="E31" s="6" t="n">
        <f aca="false">ROUND((D31-Inputs!$B$4)/Inputs!$B$5,2)</f>
        <v>0.52</v>
      </c>
    </row>
    <row r="32" customFormat="false" ht="15" hidden="false" customHeight="true" outlineLevel="0" collapsed="false">
      <c r="A32" s="10" t="n">
        <v>31</v>
      </c>
      <c r="B32" s="6" t="n">
        <f aca="false">C31</f>
        <v>4.5</v>
      </c>
      <c r="C32" s="6" t="n">
        <f aca="false">ROUND(B32+$H$2,2)</f>
        <v>4.55</v>
      </c>
      <c r="D32" s="5" t="n">
        <f aca="false">ROUND((B32+C32)/2,3)</f>
        <v>4.525</v>
      </c>
      <c r="E32" s="6" t="n">
        <f aca="false">ROUND((D32-Inputs!$B$4)/Inputs!$B$5,2)</f>
        <v>0.53</v>
      </c>
    </row>
    <row r="33" customFormat="false" ht="15" hidden="false" customHeight="true" outlineLevel="0" collapsed="false">
      <c r="A33" s="10" t="n">
        <v>32</v>
      </c>
      <c r="B33" s="6" t="n">
        <f aca="false">C32</f>
        <v>4.55</v>
      </c>
      <c r="C33" s="6" t="n">
        <f aca="false">ROUND(B33+$H$2,2)</f>
        <v>4.6</v>
      </c>
      <c r="D33" s="5" t="n">
        <f aca="false">ROUND((B33+C33)/2,3)</f>
        <v>4.575</v>
      </c>
      <c r="E33" s="6" t="n">
        <f aca="false">ROUND((D33-Inputs!$B$4)/Inputs!$B$5,2)</f>
        <v>0.54</v>
      </c>
    </row>
    <row r="34" customFormat="false" ht="15" hidden="false" customHeight="true" outlineLevel="0" collapsed="false">
      <c r="A34" s="10" t="n">
        <v>33</v>
      </c>
      <c r="B34" s="6" t="n">
        <f aca="false">C33</f>
        <v>4.6</v>
      </c>
      <c r="C34" s="6" t="n">
        <f aca="false">ROUND(B34+$H$2,2)</f>
        <v>4.65</v>
      </c>
      <c r="D34" s="5" t="n">
        <f aca="false">ROUND((B34+C34)/2,3)</f>
        <v>4.625</v>
      </c>
      <c r="E34" s="6" t="n">
        <f aca="false">ROUND((D34-Inputs!$B$4)/Inputs!$B$5,2)</f>
        <v>0.54</v>
      </c>
    </row>
    <row r="35" customFormat="false" ht="15" hidden="false" customHeight="true" outlineLevel="0" collapsed="false">
      <c r="A35" s="10" t="n">
        <v>34</v>
      </c>
      <c r="B35" s="6" t="n">
        <f aca="false">C34</f>
        <v>4.65</v>
      </c>
      <c r="C35" s="6" t="n">
        <f aca="false">ROUND(B35+$H$2,2)</f>
        <v>4.7</v>
      </c>
      <c r="D35" s="5" t="n">
        <f aca="false">ROUND((B35+C35)/2,3)</f>
        <v>4.675</v>
      </c>
      <c r="E35" s="6" t="n">
        <f aca="false">ROUND((D35-Inputs!$B$4)/Inputs!$B$5,2)</f>
        <v>0.55</v>
      </c>
    </row>
    <row r="36" customFormat="false" ht="15" hidden="false" customHeight="true" outlineLevel="0" collapsed="false">
      <c r="A36" s="10" t="n">
        <v>35</v>
      </c>
      <c r="B36" s="6" t="n">
        <f aca="false">C35</f>
        <v>4.7</v>
      </c>
      <c r="C36" s="6" t="n">
        <f aca="false">ROUND(B36+$H$2,2)</f>
        <v>4.75</v>
      </c>
      <c r="D36" s="5" t="n">
        <f aca="false">ROUND((B36+C36)/2,3)</f>
        <v>4.725</v>
      </c>
      <c r="E36" s="6" t="n">
        <f aca="false">ROUND((D36-Inputs!$B$4)/Inputs!$B$5,2)</f>
        <v>0.56</v>
      </c>
    </row>
    <row r="37" customFormat="false" ht="15" hidden="false" customHeight="true" outlineLevel="0" collapsed="false">
      <c r="A37" s="10" t="n">
        <v>36</v>
      </c>
      <c r="B37" s="6" t="n">
        <f aca="false">C36</f>
        <v>4.75</v>
      </c>
      <c r="C37" s="6" t="n">
        <f aca="false">ROUND(B37+$H$2,2)</f>
        <v>4.8</v>
      </c>
      <c r="D37" s="5" t="n">
        <f aca="false">ROUND((B37+C37)/2,3)</f>
        <v>4.775</v>
      </c>
      <c r="E37" s="6" t="n">
        <f aca="false">ROUND((D37-Inputs!$B$4)/Inputs!$B$5,2)</f>
        <v>0.57</v>
      </c>
    </row>
    <row r="38" customFormat="false" ht="15" hidden="false" customHeight="true" outlineLevel="0" collapsed="false">
      <c r="A38" s="10" t="n">
        <v>37</v>
      </c>
      <c r="B38" s="6" t="n">
        <f aca="false">C37</f>
        <v>4.8</v>
      </c>
      <c r="C38" s="6" t="n">
        <f aca="false">ROUND(B38+$H$2,2)</f>
        <v>4.85</v>
      </c>
      <c r="D38" s="5" t="n">
        <f aca="false">ROUND((B38+C38)/2,3)</f>
        <v>4.825</v>
      </c>
      <c r="E38" s="6" t="n">
        <f aca="false">ROUND((D38-Inputs!$B$4)/Inputs!$B$5,2)</f>
        <v>0.58</v>
      </c>
    </row>
    <row r="39" customFormat="false" ht="15" hidden="false" customHeight="true" outlineLevel="0" collapsed="false">
      <c r="A39" s="10" t="n">
        <v>38</v>
      </c>
      <c r="B39" s="6" t="n">
        <f aca="false">C38</f>
        <v>4.85</v>
      </c>
      <c r="C39" s="6" t="n">
        <f aca="false">ROUND(B39+$H$2,2)</f>
        <v>4.9</v>
      </c>
      <c r="D39" s="5" t="n">
        <f aca="false">ROUND((B39+C39)/2,3)</f>
        <v>4.875</v>
      </c>
      <c r="E39" s="6" t="n">
        <f aca="false">ROUND((D39-Inputs!$B$4)/Inputs!$B$5,2)</f>
        <v>0.58</v>
      </c>
    </row>
    <row r="40" customFormat="false" ht="15" hidden="false" customHeight="true" outlineLevel="0" collapsed="false">
      <c r="A40" s="10" t="n">
        <v>39</v>
      </c>
      <c r="B40" s="6" t="n">
        <f aca="false">C39</f>
        <v>4.9</v>
      </c>
      <c r="C40" s="6" t="n">
        <f aca="false">ROUND(B40+$H$2,2)</f>
        <v>4.95</v>
      </c>
      <c r="D40" s="5" t="n">
        <f aca="false">ROUND((B40+C40)/2,3)</f>
        <v>4.925</v>
      </c>
      <c r="E40" s="6" t="n">
        <f aca="false">ROUND((D40-Inputs!$B$4)/Inputs!$B$5,2)</f>
        <v>0.59</v>
      </c>
    </row>
    <row r="41" customFormat="false" ht="15" hidden="false" customHeight="true" outlineLevel="0" collapsed="false">
      <c r="A41" s="10" t="n">
        <v>40</v>
      </c>
      <c r="B41" s="6" t="n">
        <f aca="false">C40</f>
        <v>4.95</v>
      </c>
      <c r="C41" s="6" t="n">
        <f aca="false">ROUND(B41+$H$2,2)</f>
        <v>5</v>
      </c>
      <c r="D41" s="5" t="n">
        <f aca="false">ROUND((B41+C41)/2,3)</f>
        <v>4.975</v>
      </c>
      <c r="E41" s="6" t="n">
        <f aca="false">ROUND((D41-Inputs!$B$4)/Inputs!$B$5,2)</f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70"/>
    <col collapsed="false" customWidth="true" hidden="false" outlineLevel="0" max="4" min="4" style="1" width="40"/>
  </cols>
  <sheetData>
    <row r="1" customFormat="false" ht="15" hidden="false" customHeight="true" outlineLevel="0" collapsed="false">
      <c r="A1" s="16" t="s">
        <v>41</v>
      </c>
    </row>
    <row r="3" customFormat="false" ht="15" hidden="false" customHeight="true" outlineLevel="0" collapsed="false">
      <c r="A3" s="17" t="s">
        <v>42</v>
      </c>
      <c r="B3" s="17" t="s">
        <v>12</v>
      </c>
      <c r="C3" s="17" t="s">
        <v>43</v>
      </c>
      <c r="D3" s="17" t="s">
        <v>44</v>
      </c>
    </row>
    <row r="4" customFormat="false" ht="15" hidden="false" customHeight="true" outlineLevel="0" collapsed="false">
      <c r="A4" s="10" t="s">
        <v>45</v>
      </c>
      <c r="B4" s="5" t="n">
        <f aca="false">AVERAGE(Weekly!$B$2:$B$53)</f>
        <v>4.78738461538462</v>
      </c>
      <c r="C4" s="18" t="s">
        <v>46</v>
      </c>
      <c r="D4" s="18" t="s">
        <v>47</v>
      </c>
    </row>
    <row r="5" customFormat="false" ht="15" hidden="false" customHeight="true" outlineLevel="0" collapsed="false">
      <c r="A5" s="10" t="s">
        <v>48</v>
      </c>
      <c r="B5" s="9" t="n">
        <f aca="false">AVERAGE(Weekly!$C$2:$C$53)</f>
        <v>0.570769230769231</v>
      </c>
      <c r="C5" s="18" t="s">
        <v>49</v>
      </c>
      <c r="D5" s="18" t="s">
        <v>50</v>
      </c>
    </row>
    <row r="6" customFormat="false" ht="15" hidden="false" customHeight="true" outlineLevel="0" collapsed="false">
      <c r="A6" s="10" t="s">
        <v>51</v>
      </c>
      <c r="B6" s="5" t="n">
        <f aca="false">MAX(Weekly!$B$2:$B$53)</f>
        <v>6.68</v>
      </c>
      <c r="C6" s="18" t="s">
        <v>52</v>
      </c>
      <c r="D6" s="18" t="s">
        <v>50</v>
      </c>
    </row>
    <row r="7" customFormat="false" ht="15" hidden="false" customHeight="true" outlineLevel="0" collapsed="false">
      <c r="A7" s="10" t="s">
        <v>53</v>
      </c>
      <c r="B7" s="4" t="n">
        <f aca="false">INDEX(Weekly!$A$2:$A$53,MATCH(B6,Weekly!$B$2:$B$53,0))</f>
        <v>46286</v>
      </c>
      <c r="C7" s="18" t="s">
        <v>54</v>
      </c>
      <c r="D7" s="18" t="s">
        <v>50</v>
      </c>
    </row>
    <row r="8" customFormat="false" ht="15" hidden="false" customHeight="true" outlineLevel="0" collapsed="false">
      <c r="A8" s="10" t="s">
        <v>55</v>
      </c>
      <c r="B8" s="6" t="n">
        <f aca="false">INDEX(Weekly!$C$2:$C$53,MATCH(B6,Weekly!$B$2:$B$53,0))</f>
        <v>0.88</v>
      </c>
      <c r="C8" s="18" t="s">
        <v>56</v>
      </c>
      <c r="D8" s="18" t="s">
        <v>50</v>
      </c>
    </row>
    <row r="9" customFormat="false" ht="15" hidden="false" customHeight="true" outlineLevel="0" collapsed="false">
      <c r="A9" s="10" t="s">
        <v>57</v>
      </c>
      <c r="B9" s="5" t="n">
        <f aca="false">MIN(Weekly!$B$2:$B$53)</f>
        <v>3.365</v>
      </c>
      <c r="C9" s="18" t="s">
        <v>58</v>
      </c>
      <c r="D9" s="18" t="s">
        <v>50</v>
      </c>
    </row>
    <row r="10" customFormat="false" ht="15" hidden="false" customHeight="true" outlineLevel="0" collapsed="false">
      <c r="A10" s="10" t="s">
        <v>59</v>
      </c>
      <c r="B10" s="4" t="n">
        <f aca="false">INDEX(Weekly!$A$2:$A$53,MATCH(B9,Weekly!$B$2:$B$53,0))</f>
        <v>46034</v>
      </c>
      <c r="C10" s="18" t="s">
        <v>60</v>
      </c>
      <c r="D10" s="18" t="s">
        <v>50</v>
      </c>
    </row>
    <row r="11" customFormat="false" ht="15" hidden="false" customHeight="true" outlineLevel="0" collapsed="false">
      <c r="A11" s="10" t="s">
        <v>61</v>
      </c>
      <c r="B11" s="6" t="n">
        <f aca="false">INDEX(Weekly!$C$2:$C$53,MATCH(B9,Weekly!$B$2:$B$53,0))</f>
        <v>0.34</v>
      </c>
      <c r="C11" s="18" t="s">
        <v>56</v>
      </c>
      <c r="D11" s="18" t="s">
        <v>50</v>
      </c>
    </row>
    <row r="12" customFormat="false" ht="15" hidden="false" customHeight="true" outlineLevel="0" collapsed="false">
      <c r="A12" s="10" t="s">
        <v>62</v>
      </c>
      <c r="B12" s="8" t="n">
        <f aca="false">SUM(Weekly!$E$2:$E$53)</f>
        <v>3232256.77419355</v>
      </c>
      <c r="C12" s="18" t="s">
        <v>63</v>
      </c>
      <c r="D12" s="18" t="s">
        <v>50</v>
      </c>
    </row>
    <row r="13" customFormat="false" ht="15" hidden="false" customHeight="true" outlineLevel="0" collapsed="false">
      <c r="A13" s="10" t="s">
        <v>64</v>
      </c>
      <c r="B13" s="8" t="n">
        <f aca="false">AVERAGE(Weekly!$E$2:$E$53)</f>
        <v>62158.7841191067</v>
      </c>
      <c r="C13" s="18" t="s">
        <v>65</v>
      </c>
      <c r="D13" s="18" t="s">
        <v>50</v>
      </c>
    </row>
    <row r="14" customFormat="false" ht="15" hidden="false" customHeight="true" outlineLevel="0" collapsed="false">
      <c r="A14" s="10" t="s">
        <v>66</v>
      </c>
      <c r="B14" s="9" t="n">
        <f aca="false">AVERAGE(Weekly!$F$2:$F$53)</f>
        <v>0.772158808933002</v>
      </c>
      <c r="C14" s="18" t="s">
        <v>67</v>
      </c>
      <c r="D14" s="18" t="s">
        <v>50</v>
      </c>
    </row>
    <row r="15" customFormat="false" ht="34.5" hidden="false" customHeight="true" outlineLevel="0" collapsed="false">
      <c r="A15" s="10" t="s">
        <v>68</v>
      </c>
      <c r="B15" s="19" t="n">
        <f aca="false">Sources!B21</f>
        <v>2.336</v>
      </c>
      <c r="C15" s="18" t="s">
        <v>69</v>
      </c>
      <c r="D15" s="18" t="s">
        <v>70</v>
      </c>
    </row>
    <row r="16" customFormat="false" ht="23.25" hidden="false" customHeight="true" outlineLevel="0" collapsed="false">
      <c r="A16" s="10" t="s">
        <v>71</v>
      </c>
      <c r="B16" s="19" t="n">
        <f aca="false">Sources!B22</f>
        <v>1.854</v>
      </c>
      <c r="C16" s="18" t="s">
        <v>72</v>
      </c>
      <c r="D16" s="18" t="s">
        <v>70</v>
      </c>
    </row>
    <row r="17" customFormat="false" ht="23.25" hidden="false" customHeight="true" outlineLevel="0" collapsed="false">
      <c r="A17" s="20" t="s">
        <v>73</v>
      </c>
      <c r="B17" s="21" t="n">
        <f aca="false">B15-B16</f>
        <v>0.482</v>
      </c>
      <c r="C17" s="18" t="s">
        <v>74</v>
      </c>
      <c r="D17" s="18" t="s">
        <v>75</v>
      </c>
    </row>
    <row r="18" customFormat="false" ht="15" hidden="false" customHeight="true" outlineLevel="0" collapsed="false">
      <c r="A18" s="10" t="s">
        <v>76</v>
      </c>
      <c r="B18" s="22" t="n">
        <f aca="false">B17/B15</f>
        <v>0.206335616438356</v>
      </c>
      <c r="C18" s="18" t="s">
        <v>77</v>
      </c>
      <c r="D18" s="18" t="s">
        <v>75</v>
      </c>
    </row>
    <row r="19" customFormat="false" ht="15" hidden="false" customHeight="true" outlineLevel="0" collapsed="false">
      <c r="A19" s="10" t="s">
        <v>78</v>
      </c>
      <c r="B19" s="9" t="n">
        <f aca="false">B14-B17</f>
        <v>0.290158808933003</v>
      </c>
      <c r="C19" s="18" t="s">
        <v>79</v>
      </c>
      <c r="D19" s="18" t="s">
        <v>80</v>
      </c>
    </row>
    <row r="20" customFormat="false" ht="15" hidden="false" customHeight="true" outlineLevel="0" collapsed="false">
      <c r="A20" s="10" t="s">
        <v>81</v>
      </c>
      <c r="B20" s="22" t="n">
        <f aca="false">B19/B17</f>
        <v>0.601989230151458</v>
      </c>
      <c r="C20" s="18" t="s">
        <v>82</v>
      </c>
      <c r="D20" s="18" t="s">
        <v>83</v>
      </c>
    </row>
    <row r="22" customFormat="false" ht="15" hidden="false" customHeight="true" outlineLevel="0" collapsed="false">
      <c r="A22" s="2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  <col collapsed="false" customWidth="true" hidden="false" outlineLevel="0" max="3" min="3" style="1" width="26"/>
  </cols>
  <sheetData>
    <row r="1" customFormat="false" ht="15" hidden="false" customHeight="true" outlineLevel="0" collapsed="false">
      <c r="A1" s="16" t="s">
        <v>85</v>
      </c>
    </row>
    <row r="3" customFormat="false" ht="15" hidden="false" customHeight="true" outlineLevel="0" collapsed="false">
      <c r="A3" s="24" t="s">
        <v>86</v>
      </c>
      <c r="B3" s="24" t="s">
        <v>87</v>
      </c>
      <c r="C3" s="24" t="s">
        <v>88</v>
      </c>
    </row>
    <row r="4" customFormat="false" ht="23.25" hidden="false" customHeight="true" outlineLevel="0" collapsed="false">
      <c r="A4" s="18" t="s">
        <v>89</v>
      </c>
      <c r="B4" s="18" t="s">
        <v>90</v>
      </c>
      <c r="C4" s="18" t="s">
        <v>91</v>
      </c>
    </row>
    <row r="5" customFormat="false" ht="15" hidden="false" customHeight="true" outlineLevel="0" collapsed="false">
      <c r="A5" s="18" t="s">
        <v>92</v>
      </c>
      <c r="B5" s="18" t="s">
        <v>93</v>
      </c>
      <c r="C5" s="18" t="s">
        <v>94</v>
      </c>
    </row>
    <row r="6" customFormat="false" ht="15" hidden="false" customHeight="true" outlineLevel="0" collapsed="false">
      <c r="A6" s="18" t="s">
        <v>95</v>
      </c>
      <c r="B6" s="18" t="s">
        <v>96</v>
      </c>
      <c r="C6" s="18" t="s">
        <v>94</v>
      </c>
    </row>
    <row r="7" customFormat="false" ht="15" hidden="false" customHeight="true" outlineLevel="0" collapsed="false">
      <c r="A7" s="18" t="s">
        <v>97</v>
      </c>
      <c r="B7" s="18" t="s">
        <v>98</v>
      </c>
      <c r="C7" s="18" t="s">
        <v>94</v>
      </c>
    </row>
    <row r="8" customFormat="false" ht="15" hidden="false" customHeight="true" outlineLevel="0" collapsed="false">
      <c r="A8" s="18" t="s">
        <v>99</v>
      </c>
      <c r="B8" s="18" t="s">
        <v>100</v>
      </c>
      <c r="C8" s="18" t="s">
        <v>94</v>
      </c>
    </row>
    <row r="9" customFormat="false" ht="23.25" hidden="false" customHeight="true" outlineLevel="0" collapsed="false">
      <c r="A9" s="18" t="s">
        <v>101</v>
      </c>
      <c r="B9" s="18" t="s">
        <v>102</v>
      </c>
      <c r="C9" s="18" t="s">
        <v>94</v>
      </c>
    </row>
    <row r="10" customFormat="false" ht="15" hidden="false" customHeight="true" outlineLevel="0" collapsed="false">
      <c r="A10" s="18" t="s">
        <v>103</v>
      </c>
      <c r="B10" s="18" t="s">
        <v>104</v>
      </c>
      <c r="C10" s="18" t="s">
        <v>94</v>
      </c>
    </row>
    <row r="11" customFormat="false" ht="15" hidden="false" customHeight="true" outlineLevel="0" collapsed="false">
      <c r="A11" s="18" t="s">
        <v>105</v>
      </c>
      <c r="B11" s="18" t="s">
        <v>106</v>
      </c>
      <c r="C11" s="18" t="s">
        <v>107</v>
      </c>
    </row>
    <row r="12" customFormat="false" ht="15" hidden="false" customHeight="true" outlineLevel="0" collapsed="false">
      <c r="A12" s="18" t="s">
        <v>108</v>
      </c>
      <c r="B12" s="18" t="s">
        <v>109</v>
      </c>
      <c r="C12" s="18" t="s">
        <v>110</v>
      </c>
    </row>
    <row r="13" customFormat="false" ht="15" hidden="false" customHeight="true" outlineLevel="0" collapsed="false">
      <c r="A13" s="18" t="s">
        <v>111</v>
      </c>
      <c r="B13" s="18" t="s">
        <v>112</v>
      </c>
      <c r="C13" s="18" t="s">
        <v>113</v>
      </c>
    </row>
    <row r="14" customFormat="false" ht="23.25" hidden="false" customHeight="true" outlineLevel="0" collapsed="false">
      <c r="A14" s="25" t="s">
        <v>114</v>
      </c>
      <c r="B14" s="25" t="s">
        <v>115</v>
      </c>
      <c r="C14" s="25" t="s">
        <v>116</v>
      </c>
    </row>
    <row r="15" customFormat="false" ht="23.25" hidden="false" customHeight="true" outlineLevel="0" collapsed="false">
      <c r="A15" s="18" t="s">
        <v>117</v>
      </c>
      <c r="B15" s="18" t="s">
        <v>118</v>
      </c>
      <c r="C15" s="18" t="s">
        <v>119</v>
      </c>
    </row>
    <row r="16" customFormat="false" ht="23.25" hidden="false" customHeight="true" outlineLevel="0" collapsed="false">
      <c r="A16" s="18" t="s">
        <v>120</v>
      </c>
      <c r="B16" s="18" t="s">
        <v>121</v>
      </c>
      <c r="C16" s="18" t="s">
        <v>122</v>
      </c>
    </row>
    <row r="17" customFormat="false" ht="15" hidden="false" customHeight="true" outlineLevel="0" collapsed="false">
      <c r="A17" s="18" t="s">
        <v>123</v>
      </c>
      <c r="B17" s="18" t="s">
        <v>124</v>
      </c>
      <c r="C17" s="18" t="s">
        <v>125</v>
      </c>
    </row>
    <row r="18" customFormat="false" ht="15" hidden="false" customHeight="true" outlineLevel="0" collapsed="false">
      <c r="A18" s="18" t="s">
        <v>126</v>
      </c>
      <c r="B18" s="18" t="s">
        <v>127</v>
      </c>
      <c r="C18" s="18" t="s">
        <v>125</v>
      </c>
    </row>
    <row r="20" customFormat="false" ht="15" hidden="false" customHeight="false" outlineLevel="0" collapsed="false">
      <c r="A20" s="26" t="s">
        <v>128</v>
      </c>
    </row>
    <row r="21" customFormat="false" ht="23.85" hidden="false" customHeight="false" outlineLevel="0" collapsed="false">
      <c r="A21" s="18" t="s">
        <v>129</v>
      </c>
      <c r="B21" s="27" t="n">
        <v>2.336</v>
      </c>
      <c r="C21" s="28" t="s">
        <v>130</v>
      </c>
    </row>
    <row r="22" customFormat="false" ht="23.85" hidden="false" customHeight="false" outlineLevel="0" collapsed="false">
      <c r="A22" s="18" t="s">
        <v>131</v>
      </c>
      <c r="B22" s="27" t="n">
        <v>1.854</v>
      </c>
      <c r="C22" s="28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2026-10-23T07:52:20Z</dcterms:created>
  <dc:creator>openpyxl</dc:creator>
  <dc:description/>
  <dc:language>en-US</dc:language>
  <cp:lastModifiedBy/>
  <dcterms:modified xsi:type="dcterms:W3CDTF">2026-10-23T08:05:16Z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