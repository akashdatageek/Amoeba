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rices" sheetId="2" state="visible" r:id="rId4"/>
    <sheet name="Model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<sst xmlns="http://schemas.openxmlformats.org/spreadsheetml/2006/main" count="407" uniqueCount="155">
  <si>
    <t xml:space="preserve">Assumptions - all figures are ESTIMATES from public list prices, not quotes. Scenario columns: Low / Base / High. Edit blue cells.</t>
  </si>
  <si>
    <t xml:space="preserve">Parameter</t>
  </si>
  <si>
    <t xml:space="preserve">Low</t>
  </si>
  <si>
    <t xml:space="preserve">Base</t>
  </si>
  <si>
    <t xml:space="preserve">High</t>
  </si>
  <si>
    <t xml:space="preserve">Source / note</t>
  </si>
  <si>
    <t xml:space="preserve">Tenants</t>
  </si>
  <si>
    <t xml:space="preserve">Given in task</t>
  </si>
  <si>
    <t xml:space="preserve">GB raw per tenant</t>
  </si>
  <si>
    <t xml:space="preserve">Given in task (50 x 200 = 10,000 GB raw)</t>
  </si>
  <si>
    <t xml:space="preserve">Peak queries per minute, all tenants</t>
  </si>
  <si>
    <t xml:space="preserve">Given in task (combined peak)</t>
  </si>
  <si>
    <t xml:space="preserve">Peak queries per second</t>
  </si>
  <si>
    <t xml:space="preserve">5,000 / 60 = 83.3</t>
  </si>
  <si>
    <t xml:space="preserve">Hours per month</t>
  </si>
  <si>
    <t xml:space="preserve">ASSUMPTION: 730 h/month</t>
  </si>
  <si>
    <t xml:space="preserve">vCPU-seconds per analytic query</t>
  </si>
  <si>
    <t xml:space="preserve">ASSUMPTION [unverified]: no engine test exists (step 7 was proxy only), so widened 4x</t>
  </si>
  <si>
    <t xml:space="preserve">Target peak CPU utilisation</t>
  </si>
  <si>
    <t xml:space="preserve">ASSUMPTION [unverified]</t>
  </si>
  <si>
    <t xml:space="preserve">Read replicas / read-serving secondaries (beyond primary)</t>
  </si>
  <si>
    <t xml:space="preserve">ASSUMPTION: hot set 10-20% of footprint is spread over primary + replicas</t>
  </si>
  <si>
    <t xml:space="preserve">PostgreSQL storage footprint factor (x raw)</t>
  </si>
  <si>
    <t xml:space="preserve">Role-card range 1.25-1.5x (indexes, bloat, WAL headroom)</t>
  </si>
  <si>
    <t xml:space="preserve">MongoDB footprint factor before indexes (x raw)</t>
  </si>
  <si>
    <t xml:space="preserve">Role-card range 0.5-1.0x (compression). No real-engine ratio exists, proxy sizes NOT used</t>
  </si>
  <si>
    <t xml:space="preserve">MongoDB index add-on (fraction of data)</t>
  </si>
  <si>
    <t xml:space="preserve">Backup storage held (x data footprint)</t>
  </si>
  <si>
    <t xml:space="preserve">ASSUMPTION [unverified]: retention/incrementals; no free allowance assumed</t>
  </si>
  <si>
    <t xml:space="preserve">EU region price premium vs US list (applied x EU share)</t>
  </si>
  <si>
    <t xml:space="preserve">ASSUMPTION [unverified]; Atlas backup rows in [S113] show 0% (eu-west-1) to 6.5% (eu-central-1)</t>
  </si>
  <si>
    <t xml:space="preserve">Two-region overhead (share of compute) when EU share &lt; 100%</t>
  </si>
  <si>
    <t xml:space="preserve">ASSUMPTION: separate EU and non-EU deployments duplicate standby/min sizes</t>
  </si>
  <si>
    <t xml:space="preserve">Dashboard egress GB per month</t>
  </si>
  <si>
    <t xml:space="preserve">Inter-region transfer GB per month (only if EU share &lt; 100%)</t>
  </si>
  <si>
    <t xml:space="preserve">Max fill of Atlas 4 TB shard storage</t>
  </si>
  <si>
    <t xml:space="preserve">ASSUMPTION: headroom</t>
  </si>
  <si>
    <t xml:space="preserve">Atlas sharded-cluster config server/mongos overhead (share of compute)</t>
  </si>
  <si>
    <t xml:space="preserve">Atlas on GCP price factor vs AWS tier price</t>
  </si>
  <si>
    <t xml:space="preserve">ASSUMPTION: S70 grid does not split AWS/GCP</t>
  </si>
  <si>
    <t xml:space="preserve">Atlas storage billed beyond tier-included, USD per GB-month per node copy</t>
  </si>
  <si>
    <t xml:space="preserve">ASSUMPTION [unverified]: base assumes storage included in tier price</t>
  </si>
  <si>
    <t xml:space="preserve">Cloud SQL GiB memory per vCPU</t>
  </si>
  <si>
    <t xml:space="preserve">ASSUMPTION</t>
  </si>
  <si>
    <t xml:space="preserve">AlloyDB GiB memory per vCPU</t>
  </si>
  <si>
    <t xml:space="preserve">ASSUMPTION (AlloyDB 8 GB/vCPU ratio)</t>
  </si>
  <si>
    <t xml:space="preserve">Prices - public list prices, retrieved 2026-10-22 (America/Chicago). Estimates, not quotes.</t>
  </si>
  <si>
    <t xml:space="preserve">Provider</t>
  </si>
  <si>
    <t xml:space="preserve">Item</t>
  </si>
  <si>
    <t xml:space="preserve">Unit</t>
  </si>
  <si>
    <t xml:space="preserve">USD price</t>
  </si>
  <si>
    <t xml:space="preserve">Source / status</t>
  </si>
  <si>
    <t xml:space="preserve">URL</t>
  </si>
  <si>
    <t xml:space="preserve">Date retrieved</t>
  </si>
  <si>
    <t xml:space="preserve">Atlas (AWS/GCP)</t>
  </si>
  <si>
    <t xml:space="preserve">Dedicated M50 8 vCPU 32 GB, 160 GB-4 TB</t>
  </si>
  <si>
    <t xml:space="preserve">USD/hour</t>
  </si>
  <si>
    <t xml:space="preserve">[S113] S70 tier table; cloud/region of base price not stated</t>
  </si>
  <si>
    <t xml:space="preserve">https://www.mongodb.com/pricing</t>
  </si>
  <si>
    <t xml:space="preserve">2026-10-22</t>
  </si>
  <si>
    <t xml:space="preserve">Dedicated M60 16 vCPU 64 GB, 320 GB-4 TB</t>
  </si>
  <si>
    <t xml:space="preserve">[S113] S70 tier table</t>
  </si>
  <si>
    <t xml:space="preserve">Dedicated M80 32 vCPU 128 GB, 750 GB-4 TB</t>
  </si>
  <si>
    <t xml:space="preserve">Atlas</t>
  </si>
  <si>
    <t xml:space="preserve">Max dedicated-cluster storage (forces sharding for &gt;4 TB)</t>
  </si>
  <si>
    <t xml:space="preserve">GB</t>
  </si>
  <si>
    <t xml:space="preserve">[S74] S70 page: 10 GB to 4 TB</t>
  </si>
  <si>
    <t xml:space="preserve">Atlas (AWS)</t>
  </si>
  <si>
    <t xml:space="preserve">Per-GB-month row for eu-west-1/us-east-1 (column heading not confirmed; used as backup storage)</t>
  </si>
  <si>
    <t xml:space="preserve">USD/GB-month</t>
  </si>
  <si>
    <t xml:space="preserve">[S113] S70 region table; meaning UNVERIFIED</t>
  </si>
  <si>
    <t xml:space="preserve">AWS RDS PostgreSQL</t>
  </si>
  <si>
    <t xml:space="preserve">Memory-optimised instance, single-AZ, per vCPU</t>
  </si>
  <si>
    <t xml:space="preserve">USD/vCPU-hour</t>
  </si>
  <si>
    <t xml:space="preserve">ASSUMPTION [unverified]: hourly table not found [S57]; replace from AWS calculator</t>
  </si>
  <si>
    <t xml:space="preserve">https://aws.amazon.com/rds/postgresql/pricing/</t>
  </si>
  <si>
    <t xml:space="preserve">gp3 storage, single-AZ</t>
  </si>
  <si>
    <t xml:space="preserve">ASSUMPTION [unverified]: not found for eu-west-1 [S57]</t>
  </si>
  <si>
    <t xml:space="preserve">Backup storage beyond allowance</t>
  </si>
  <si>
    <t xml:space="preserve">ASSUMPTION [unverified]: not found [S57]</t>
  </si>
  <si>
    <t xml:space="preserve">AWS Aurora PostgreSQL</t>
  </si>
  <si>
    <t xml:space="preserve">Memory-optimised instance, Standard, per vCPU</t>
  </si>
  <si>
    <t xml:space="preserve">ASSUMPTION [unverified]: not found [S61]</t>
  </si>
  <si>
    <t xml:space="preserve">https://aws.amazon.com/rds/aurora/pricing/</t>
  </si>
  <si>
    <t xml:space="preserve">I/O-Optimized instance premium (x)</t>
  </si>
  <si>
    <t xml:space="preserve">factor</t>
  </si>
  <si>
    <t xml:space="preserve">ASSUMPTION [unverified]; $0.225 storage below assumed to be I/O-Optimized, so no per-request I/O line</t>
  </si>
  <si>
    <t xml:space="preserve">Storage (shared by all nodes)</t>
  </si>
  <si>
    <t xml:space="preserve">[S63] page worked example (80 GB = $18.00); region/config not stated</t>
  </si>
  <si>
    <t xml:space="preserve">Backup storage</t>
  </si>
  <si>
    <t xml:space="preserve">GCP Cloud SQL PG Enterprise</t>
  </si>
  <si>
    <t xml:space="preserve">HA vCPU on-demand</t>
  </si>
  <si>
    <t xml:space="preserve">[S67] region not confirmed (likely us-central1)</t>
  </si>
  <si>
    <t xml:space="preserve">https://cloud.google.com/sql/pricing</t>
  </si>
  <si>
    <t xml:space="preserve">vCPU on-demand (replicas)</t>
  </si>
  <si>
    <t xml:space="preserve">[S67]</t>
  </si>
  <si>
    <t xml:space="preserve">HA memory</t>
  </si>
  <si>
    <t xml:space="preserve">USD/GiB-hour</t>
  </si>
  <si>
    <t xml:space="preserve">ASSUMPTION: 2 x $0.007 [S69] (HA vCPU is 2x single in [S67])</t>
  </si>
  <si>
    <t xml:space="preserve">Memory on-demand</t>
  </si>
  <si>
    <t xml:space="preserve">[S69] (a second table shows $0.009; series unidentified)</t>
  </si>
  <si>
    <t xml:space="preserve">GCP Cloud SQL PG</t>
  </si>
  <si>
    <t xml:space="preserve">SSD storage, single zone</t>
  </si>
  <si>
    <t xml:space="preserve">ASSUMPTION [unverified]: not found [S65]</t>
  </si>
  <si>
    <t xml:space="preserve">GCP AlloyDB</t>
  </si>
  <si>
    <t xml:space="preserve">vCPU</t>
  </si>
  <si>
    <t xml:space="preserve">ASSUMPTION [unverified]: S69 vCPU columns unlabelled (second = 2x first)</t>
  </si>
  <si>
    <t xml:space="preserve">https://cloud.google.com/alloydb/pricing</t>
  </si>
  <si>
    <t xml:space="preserve">Memory</t>
  </si>
  <si>
    <t xml:space="preserve">ASSUMPTION [unverified]: not captured [S66]</t>
  </si>
  <si>
    <t xml:space="preserve">Regional cluster storage = 0.0004109 x 730</t>
  </si>
  <si>
    <t xml:space="preserve">USD/GiB-month</t>
  </si>
  <si>
    <t xml:space="preserve">[S69] region not confirmed</t>
  </si>
  <si>
    <t xml:space="preserve">Backup storage = 0.000137 x 730</t>
  </si>
  <si>
    <t xml:space="preserve">[S69]</t>
  </si>
  <si>
    <t xml:space="preserve">AWS and GCP</t>
  </si>
  <si>
    <t xml:space="preserve">Internet egress to dashboard users</t>
  </si>
  <si>
    <t xml:space="preserve">USD/GB</t>
  </si>
  <si>
    <t xml:space="preserve">ASSUMPTION [unverified]: not found on any fetched page</t>
  </si>
  <si>
    <t xml:space="preserve">Inter-region transfer</t>
  </si>
  <si>
    <t xml:space="preserve">Model - every cell is a formula over Assumptions and Prices; D (EU share) is the sensitivity input. Estimates, not quotes.</t>
  </si>
  <si>
    <t xml:space="preserve">Combination</t>
  </si>
  <si>
    <t xml:space="preserve">Scenario</t>
  </si>
  <si>
    <t xml:space="preserve">Scenario idx (1=Low,2=Base,3=High)</t>
  </si>
  <si>
    <t xml:space="preserve">EU share</t>
  </si>
  <si>
    <t xml:space="preserve">Total vCPU needed</t>
  </si>
  <si>
    <t xml:space="preserve">Read-serving nodes</t>
  </si>
  <si>
    <t xml:space="preserve">vCPU per node</t>
  </si>
  <si>
    <t xml:space="preserve">Storage footprint GB</t>
  </si>
  <si>
    <t xml:space="preserve">Shards</t>
  </si>
  <si>
    <t xml:space="preserve">Compute USD/mo (US list)</t>
  </si>
  <si>
    <t xml:space="preserve">Storage USD/mo</t>
  </si>
  <si>
    <t xml:space="preserve">Backup USD/mo</t>
  </si>
  <si>
    <t xml:space="preserve">Egress+transfer USD/mo</t>
  </si>
  <si>
    <t xml:space="preserve">Region factor</t>
  </si>
  <si>
    <t xml:space="preserve">Two-region overhead USD</t>
  </si>
  <si>
    <t xml:space="preserve">TOTAL USD/mo</t>
  </si>
  <si>
    <t xml:space="preserve">USD per tenant</t>
  </si>
  <si>
    <t xml:space="preserve">Base EU20%</t>
  </si>
  <si>
    <t xml:space="preserve">Base EU100%</t>
  </si>
  <si>
    <t xml:space="preserve">GCP Cloud SQL PostgreSQL</t>
  </si>
  <si>
    <t xml:space="preserve">MongoDB Atlas on AWS</t>
  </si>
  <si>
    <t xml:space="preserve">MongoDB Atlas on GCP</t>
  </si>
  <si>
    <t xml:space="preserve">Summary - monthly cost, 50 tenants x 200 GB, 5,000 queries/min peak, HA. ESTIMATES from public list prices, not quotes.</t>
  </si>
  <si>
    <t xml:space="preserve">Database</t>
  </si>
  <si>
    <t xml:space="preserve">Monthly USD</t>
  </si>
  <si>
    <t xml:space="preserve">Price rows / assumptions</t>
  </si>
  <si>
    <t xml:space="preserve">AWS</t>
  </si>
  <si>
    <t xml:space="preserve">RDS PostgreSQL</t>
  </si>
  <si>
    <t xml:space="preserve">See Prices rows (source/status col) and Assumptions</t>
  </si>
  <si>
    <t xml:space="preserve">Aurora PostgreSQL</t>
  </si>
  <si>
    <t xml:space="preserve">GCP</t>
  </si>
  <si>
    <t xml:space="preserve">Cloud SQL PostgreSQL</t>
  </si>
  <si>
    <t xml:space="preserve">AlloyDB</t>
  </si>
  <si>
    <t xml:space="preserve">Check: sum of Summary monthly USD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</si>
</sst>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1" t="s">
        <v>6</v>
      </c>
      <c r="B4" s="3" t="n">
        <v>50</v>
      </c>
      <c r="C4" s="3" t="n">
        <v>50</v>
      </c>
      <c r="D4" s="3" t="n">
        <v>50</v>
      </c>
      <c r="E4" s="1" t="s">
        <v>7</v>
      </c>
    </row>
    <row r="5" customFormat="false" ht="15" hidden="false" customHeight="false" outlineLevel="0" collapsed="false">
      <c r="A5" s="1" t="s">
        <v>8</v>
      </c>
      <c r="B5" s="3" t="n">
        <v>200</v>
      </c>
      <c r="C5" s="3" t="n">
        <v>200</v>
      </c>
      <c r="D5" s="3" t="n">
        <v>200</v>
      </c>
      <c r="E5" s="1" t="s">
        <v>9</v>
      </c>
    </row>
    <row r="6" customFormat="false" ht="15" hidden="false" customHeight="false" outlineLevel="0" collapsed="false">
      <c r="A6" s="1" t="s">
        <v>10</v>
      </c>
      <c r="B6" s="3" t="n">
        <v>5000</v>
      </c>
      <c r="C6" s="3" t="n">
        <v>5000</v>
      </c>
      <c r="D6" s="3" t="n">
        <v>5000</v>
      </c>
      <c r="E6" s="1" t="s">
        <v>11</v>
      </c>
    </row>
    <row r="7" customFormat="false" ht="15" hidden="false" customHeight="false" outlineLevel="0" collapsed="false">
      <c r="A7" s="1" t="s">
        <v>12</v>
      </c>
      <c r="B7" s="1" t="n">
        <f aca="false">6/60</f>
        <v>0.1</v>
      </c>
      <c r="C7" s="1" t="n">
        <f aca="false">B7</f>
        <v>0.1</v>
      </c>
      <c r="D7" s="1" t="n">
        <f aca="false">B7</f>
        <v>0.1</v>
      </c>
      <c r="E7" s="1" t="s">
        <v>13</v>
      </c>
    </row>
    <row r="8" customFormat="false" ht="15" hidden="false" customHeight="false" outlineLevel="0" collapsed="false">
      <c r="A8" s="1" t="s">
        <v>14</v>
      </c>
      <c r="B8" s="3" t="n">
        <v>730</v>
      </c>
      <c r="C8" s="3" t="n">
        <v>730</v>
      </c>
      <c r="D8" s="3" t="n">
        <v>730</v>
      </c>
      <c r="E8" s="1" t="s">
        <v>15</v>
      </c>
    </row>
    <row r="9" customFormat="false" ht="15" hidden="false" customHeight="false" outlineLevel="0" collapsed="false">
      <c r="A9" s="1" t="s">
        <v>16</v>
      </c>
      <c r="B9" s="3" t="n">
        <v>0.2</v>
      </c>
      <c r="C9" s="3" t="n">
        <v>0.4</v>
      </c>
      <c r="D9" s="3" t="n">
        <v>0.8</v>
      </c>
      <c r="E9" s="1" t="s">
        <v>17</v>
      </c>
    </row>
    <row r="10" customFormat="false" ht="15" hidden="false" customHeight="false" outlineLevel="0" collapsed="false">
      <c r="A10" s="1" t="s">
        <v>18</v>
      </c>
      <c r="B10" s="3" t="n">
        <v>0.6</v>
      </c>
      <c r="C10" s="3" t="n">
        <v>0.6</v>
      </c>
      <c r="D10" s="3" t="n">
        <v>0.5</v>
      </c>
      <c r="E10" s="1" t="s">
        <v>19</v>
      </c>
    </row>
    <row r="11" customFormat="false" ht="15" hidden="false" customHeight="false" outlineLevel="0" collapsed="false">
      <c r="A11" s="1" t="s">
        <v>20</v>
      </c>
      <c r="B11" s="3" t="n">
        <v>1</v>
      </c>
      <c r="C11" s="3" t="n">
        <v>2</v>
      </c>
      <c r="D11" s="3" t="n">
        <v>3</v>
      </c>
      <c r="E11" s="1" t="s">
        <v>21</v>
      </c>
    </row>
    <row r="12" customFormat="false" ht="15" hidden="false" customHeight="false" outlineLevel="0" collapsed="false">
      <c r="A12" s="1" t="s">
        <v>22</v>
      </c>
      <c r="B12" s="3" t="n">
        <v>1.25</v>
      </c>
      <c r="C12" s="3" t="n">
        <v>1.375</v>
      </c>
      <c r="D12" s="3" t="n">
        <v>1.5</v>
      </c>
      <c r="E12" s="1" t="s">
        <v>23</v>
      </c>
    </row>
    <row r="13" customFormat="false" ht="15" hidden="false" customHeight="false" outlineLevel="0" collapsed="false">
      <c r="A13" s="1" t="s">
        <v>24</v>
      </c>
      <c r="B13" s="3" t="n">
        <v>0.5</v>
      </c>
      <c r="C13" s="3" t="n">
        <v>0.75</v>
      </c>
      <c r="D13" s="3" t="n">
        <v>1</v>
      </c>
      <c r="E13" s="1" t="s">
        <v>25</v>
      </c>
    </row>
    <row r="14" customFormat="false" ht="15" hidden="false" customHeight="false" outlineLevel="0" collapsed="false">
      <c r="A14" s="1" t="s">
        <v>26</v>
      </c>
      <c r="B14" s="3" t="n">
        <v>0.1</v>
      </c>
      <c r="C14" s="3" t="n">
        <v>0.15</v>
      </c>
      <c r="D14" s="3" t="n">
        <v>0.25</v>
      </c>
      <c r="E14" s="1" t="s">
        <v>19</v>
      </c>
    </row>
    <row r="15" customFormat="false" ht="15" hidden="false" customHeight="false" outlineLevel="0" collapsed="false">
      <c r="A15" s="1" t="s">
        <v>27</v>
      </c>
      <c r="B15" s="3" t="n">
        <v>0.5</v>
      </c>
      <c r="C15" s="3" t="n">
        <v>1</v>
      </c>
      <c r="D15" s="3" t="n">
        <v>1.5</v>
      </c>
      <c r="E15" s="1" t="s">
        <v>28</v>
      </c>
    </row>
    <row r="16" customFormat="false" ht="15" hidden="false" customHeight="false" outlineLevel="0" collapsed="false">
      <c r="A16" s="1" t="s">
        <v>29</v>
      </c>
      <c r="B16" s="3" t="n">
        <v>0</v>
      </c>
      <c r="C16" s="3" t="n">
        <v>0.08</v>
      </c>
      <c r="D16" s="3" t="n">
        <v>0.15</v>
      </c>
      <c r="E16" s="1" t="s">
        <v>30</v>
      </c>
    </row>
    <row r="17" customFormat="false" ht="15" hidden="false" customHeight="false" outlineLevel="0" collapsed="false">
      <c r="A17" s="1" t="s">
        <v>31</v>
      </c>
      <c r="B17" s="3" t="n">
        <v>0.05</v>
      </c>
      <c r="C17" s="3" t="n">
        <v>0.1</v>
      </c>
      <c r="D17" s="3" t="n">
        <v>0.15</v>
      </c>
      <c r="E17" s="1" t="s">
        <v>32</v>
      </c>
    </row>
    <row r="18" customFormat="false" ht="15" hidden="false" customHeight="false" outlineLevel="0" collapsed="false">
      <c r="A18" s="1" t="s">
        <v>33</v>
      </c>
      <c r="B18" s="3" t="n">
        <v>1000</v>
      </c>
      <c r="C18" s="3" t="n">
        <v>2000</v>
      </c>
      <c r="D18" s="3" t="n">
        <v>5000</v>
      </c>
      <c r="E18" s="1" t="s">
        <v>19</v>
      </c>
    </row>
    <row r="19" customFormat="false" ht="15" hidden="false" customHeight="false" outlineLevel="0" collapsed="false">
      <c r="A19" s="1" t="s">
        <v>34</v>
      </c>
      <c r="B19" s="3" t="n">
        <v>0</v>
      </c>
      <c r="C19" s="3" t="n">
        <v>500</v>
      </c>
      <c r="D19" s="3" t="n">
        <v>2000</v>
      </c>
      <c r="E19" s="1" t="s">
        <v>19</v>
      </c>
    </row>
    <row r="20" customFormat="false" ht="15" hidden="false" customHeight="false" outlineLevel="0" collapsed="false">
      <c r="A20" s="1" t="s">
        <v>35</v>
      </c>
      <c r="B20" s="3" t="n">
        <v>0.8</v>
      </c>
      <c r="C20" s="3" t="n">
        <v>0.8</v>
      </c>
      <c r="D20" s="3" t="n">
        <v>0.8</v>
      </c>
      <c r="E20" s="1" t="s">
        <v>36</v>
      </c>
    </row>
    <row r="21" customFormat="false" ht="15" hidden="false" customHeight="false" outlineLevel="0" collapsed="false">
      <c r="A21" s="1" t="s">
        <v>37</v>
      </c>
      <c r="B21" s="3" t="n">
        <v>0.1</v>
      </c>
      <c r="C21" s="3" t="n">
        <v>0.1</v>
      </c>
      <c r="D21" s="3" t="n">
        <v>0.1</v>
      </c>
      <c r="E21" s="1" t="s">
        <v>19</v>
      </c>
    </row>
    <row r="22" customFormat="false" ht="15" hidden="false" customHeight="false" outlineLevel="0" collapsed="false">
      <c r="A22" s="1" t="s">
        <v>38</v>
      </c>
      <c r="B22" s="3" t="n">
        <v>1</v>
      </c>
      <c r="C22" s="3" t="n">
        <v>1</v>
      </c>
      <c r="D22" s="3" t="n">
        <v>1.05</v>
      </c>
      <c r="E22" s="1" t="s">
        <v>39</v>
      </c>
    </row>
    <row r="23" customFormat="false" ht="15" hidden="false" customHeight="false" outlineLevel="0" collapsed="false">
      <c r="A23" s="1" t="s">
        <v>40</v>
      </c>
      <c r="B23" s="3" t="n">
        <v>0</v>
      </c>
      <c r="C23" s="3" t="n">
        <v>0</v>
      </c>
      <c r="D23" s="3" t="n">
        <v>0.03</v>
      </c>
      <c r="E23" s="1" t="s">
        <v>41</v>
      </c>
    </row>
    <row r="24" customFormat="false" ht="15" hidden="false" customHeight="false" outlineLevel="0" collapsed="false">
      <c r="A24" s="1" t="s">
        <v>42</v>
      </c>
      <c r="B24" s="3" t="n">
        <v>6</v>
      </c>
      <c r="C24" s="3" t="n">
        <v>6</v>
      </c>
      <c r="D24" s="3" t="n">
        <v>6</v>
      </c>
      <c r="E24" s="1" t="s">
        <v>43</v>
      </c>
    </row>
    <row r="25" customFormat="false" ht="15" hidden="false" customHeight="false" outlineLevel="0" collapsed="false">
      <c r="A25" s="1" t="s">
        <v>44</v>
      </c>
      <c r="B25" s="3" t="n">
        <v>8</v>
      </c>
      <c r="C25" s="3" t="n">
        <v>8</v>
      </c>
      <c r="D25" s="3" t="n">
        <v>8</v>
      </c>
      <c r="E25" s="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46</v>
      </c>
    </row>
    <row r="3" customFormat="false" ht="15" hidden="false" customHeight="false" outlineLevel="0" collapsed="false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</row>
    <row r="4" customFormat="false" ht="15" hidden="false" customHeight="false" outlineLevel="0" collapsed="false">
      <c r="A4" s="1" t="s">
        <v>54</v>
      </c>
      <c r="B4" s="1" t="s">
        <v>55</v>
      </c>
      <c r="C4" s="1" t="s">
        <v>56</v>
      </c>
      <c r="D4" s="1" t="n">
        <v>2</v>
      </c>
      <c r="E4" s="1" t="s">
        <v>57</v>
      </c>
      <c r="F4" s="1" t="s">
        <v>58</v>
      </c>
      <c r="G4" s="1" t="s">
        <v>59</v>
      </c>
    </row>
    <row r="5" customFormat="false" ht="15" hidden="false" customHeight="false" outlineLevel="0" collapsed="false">
      <c r="A5" s="1" t="s">
        <v>54</v>
      </c>
      <c r="B5" s="1" t="s">
        <v>60</v>
      </c>
      <c r="C5" s="1" t="s">
        <v>56</v>
      </c>
      <c r="D5" s="1" t="n">
        <v>3.95</v>
      </c>
      <c r="E5" s="1" t="s">
        <v>61</v>
      </c>
      <c r="F5" s="1" t="s">
        <v>58</v>
      </c>
      <c r="G5" s="1" t="s">
        <v>59</v>
      </c>
    </row>
    <row r="6" customFormat="false" ht="15" hidden="false" customHeight="false" outlineLevel="0" collapsed="false">
      <c r="A6" s="1" t="s">
        <v>54</v>
      </c>
      <c r="B6" s="1" t="s">
        <v>62</v>
      </c>
      <c r="C6" s="1" t="s">
        <v>56</v>
      </c>
      <c r="D6" s="1" t="n">
        <v>7.3</v>
      </c>
      <c r="E6" s="1" t="s">
        <v>61</v>
      </c>
      <c r="F6" s="1" t="s">
        <v>58</v>
      </c>
      <c r="G6" s="1" t="s">
        <v>59</v>
      </c>
    </row>
    <row r="7" customFormat="false" ht="15" hidden="false" customHeight="false" outlineLevel="0" collapsed="false">
      <c r="A7" s="1" t="s">
        <v>63</v>
      </c>
      <c r="B7" s="1" t="s">
        <v>64</v>
      </c>
      <c r="C7" s="1" t="s">
        <v>65</v>
      </c>
      <c r="D7" s="1" t="n">
        <v>4000</v>
      </c>
      <c r="E7" s="1" t="s">
        <v>66</v>
      </c>
      <c r="F7" s="1" t="s">
        <v>58</v>
      </c>
      <c r="G7" s="1" t="s">
        <v>59</v>
      </c>
    </row>
    <row r="8" customFormat="false" ht="15" hidden="false" customHeight="false" outlineLevel="0" collapsed="false">
      <c r="A8" s="1" t="s">
        <v>67</v>
      </c>
      <c r="B8" s="1" t="s">
        <v>68</v>
      </c>
      <c r="C8" s="1" t="s">
        <v>69</v>
      </c>
      <c r="D8" s="1" t="n">
        <v>0.048</v>
      </c>
      <c r="E8" s="1" t="s">
        <v>70</v>
      </c>
      <c r="F8" s="1" t="s">
        <v>58</v>
      </c>
      <c r="G8" s="1" t="s">
        <v>59</v>
      </c>
    </row>
    <row r="9" customFormat="false" ht="15" hidden="false" customHeight="false" outlineLevel="0" collapsed="false">
      <c r="A9" s="1" t="s">
        <v>71</v>
      </c>
      <c r="B9" s="1" t="s">
        <v>72</v>
      </c>
      <c r="C9" s="1" t="s">
        <v>73</v>
      </c>
      <c r="D9" s="1" t="n">
        <v>0.125</v>
      </c>
      <c r="E9" s="1" t="s">
        <v>74</v>
      </c>
      <c r="F9" s="1" t="s">
        <v>75</v>
      </c>
      <c r="G9" s="1" t="s">
        <v>59</v>
      </c>
    </row>
    <row r="10" customFormat="false" ht="15" hidden="false" customHeight="false" outlineLevel="0" collapsed="false">
      <c r="A10" s="1" t="s">
        <v>71</v>
      </c>
      <c r="B10" s="1" t="s">
        <v>76</v>
      </c>
      <c r="C10" s="1" t="s">
        <v>69</v>
      </c>
      <c r="D10" s="1" t="n">
        <v>0.115</v>
      </c>
      <c r="E10" s="1" t="s">
        <v>77</v>
      </c>
      <c r="F10" s="1" t="s">
        <v>75</v>
      </c>
      <c r="G10" s="1" t="s">
        <v>59</v>
      </c>
    </row>
    <row r="11" customFormat="false" ht="15" hidden="false" customHeight="false" outlineLevel="0" collapsed="false">
      <c r="A11" s="1" t="s">
        <v>71</v>
      </c>
      <c r="B11" s="1" t="s">
        <v>78</v>
      </c>
      <c r="C11" s="1" t="s">
        <v>69</v>
      </c>
      <c r="D11" s="1" t="n">
        <v>0.095</v>
      </c>
      <c r="E11" s="1" t="s">
        <v>79</v>
      </c>
      <c r="F11" s="1" t="s">
        <v>75</v>
      </c>
      <c r="G11" s="1" t="s">
        <v>59</v>
      </c>
    </row>
    <row r="12" customFormat="false" ht="15" hidden="false" customHeight="false" outlineLevel="0" collapsed="false">
      <c r="A12" s="1" t="s">
        <v>80</v>
      </c>
      <c r="B12" s="1" t="s">
        <v>81</v>
      </c>
      <c r="C12" s="1" t="s">
        <v>73</v>
      </c>
      <c r="D12" s="1" t="n">
        <v>0.145</v>
      </c>
      <c r="E12" s="1" t="s">
        <v>82</v>
      </c>
      <c r="F12" s="1" t="s">
        <v>83</v>
      </c>
      <c r="G12" s="1" t="s">
        <v>59</v>
      </c>
    </row>
    <row r="13" customFormat="false" ht="15" hidden="false" customHeight="false" outlineLevel="0" collapsed="false">
      <c r="A13" s="1" t="s">
        <v>80</v>
      </c>
      <c r="B13" s="1" t="s">
        <v>84</v>
      </c>
      <c r="C13" s="1" t="s">
        <v>85</v>
      </c>
      <c r="D13" s="1" t="n">
        <v>1.3</v>
      </c>
      <c r="E13" s="1" t="s">
        <v>86</v>
      </c>
      <c r="F13" s="1" t="s">
        <v>83</v>
      </c>
      <c r="G13" s="1" t="s">
        <v>59</v>
      </c>
    </row>
    <row r="14" customFormat="false" ht="15" hidden="false" customHeight="false" outlineLevel="0" collapsed="false">
      <c r="A14" s="1" t="s">
        <v>80</v>
      </c>
      <c r="B14" s="1" t="s">
        <v>87</v>
      </c>
      <c r="C14" s="1" t="s">
        <v>69</v>
      </c>
      <c r="D14" s="1" t="n">
        <v>0.225</v>
      </c>
      <c r="E14" s="1" t="s">
        <v>88</v>
      </c>
      <c r="F14" s="1" t="s">
        <v>83</v>
      </c>
      <c r="G14" s="1" t="s">
        <v>59</v>
      </c>
    </row>
    <row r="15" customFormat="false" ht="15" hidden="false" customHeight="false" outlineLevel="0" collapsed="false">
      <c r="A15" s="1" t="s">
        <v>80</v>
      </c>
      <c r="B15" s="1" t="s">
        <v>89</v>
      </c>
      <c r="C15" s="1" t="s">
        <v>69</v>
      </c>
      <c r="D15" s="1" t="n">
        <v>0.021</v>
      </c>
      <c r="E15" s="1" t="s">
        <v>82</v>
      </c>
      <c r="F15" s="1" t="s">
        <v>83</v>
      </c>
      <c r="G15" s="1" t="s">
        <v>59</v>
      </c>
    </row>
    <row r="16" customFormat="false" ht="15" hidden="false" customHeight="false" outlineLevel="0" collapsed="false">
      <c r="A16" s="1" t="s">
        <v>90</v>
      </c>
      <c r="B16" s="1" t="s">
        <v>91</v>
      </c>
      <c r="C16" s="1" t="s">
        <v>73</v>
      </c>
      <c r="D16" s="1" t="n">
        <v>0.0826</v>
      </c>
      <c r="E16" s="1" t="s">
        <v>92</v>
      </c>
      <c r="F16" s="1" t="s">
        <v>93</v>
      </c>
      <c r="G16" s="1" t="s">
        <v>59</v>
      </c>
    </row>
    <row r="17" customFormat="false" ht="15" hidden="false" customHeight="false" outlineLevel="0" collapsed="false">
      <c r="A17" s="1" t="s">
        <v>90</v>
      </c>
      <c r="B17" s="1" t="s">
        <v>94</v>
      </c>
      <c r="C17" s="1" t="s">
        <v>73</v>
      </c>
      <c r="D17" s="1" t="n">
        <v>0.0413</v>
      </c>
      <c r="E17" s="1" t="s">
        <v>95</v>
      </c>
      <c r="F17" s="1" t="s">
        <v>93</v>
      </c>
      <c r="G17" s="1" t="s">
        <v>59</v>
      </c>
    </row>
    <row r="18" customFormat="false" ht="15" hidden="false" customHeight="false" outlineLevel="0" collapsed="false">
      <c r="A18" s="1" t="s">
        <v>90</v>
      </c>
      <c r="B18" s="1" t="s">
        <v>96</v>
      </c>
      <c r="C18" s="1" t="s">
        <v>97</v>
      </c>
      <c r="D18" s="1" t="n">
        <v>0.014</v>
      </c>
      <c r="E18" s="1" t="s">
        <v>98</v>
      </c>
      <c r="F18" s="1" t="s">
        <v>93</v>
      </c>
      <c r="G18" s="1" t="s">
        <v>59</v>
      </c>
    </row>
    <row r="19" customFormat="false" ht="15" hidden="false" customHeight="false" outlineLevel="0" collapsed="false">
      <c r="A19" s="1" t="s">
        <v>90</v>
      </c>
      <c r="B19" s="1" t="s">
        <v>99</v>
      </c>
      <c r="C19" s="1" t="s">
        <v>97</v>
      </c>
      <c r="D19" s="1" t="n">
        <v>0.007</v>
      </c>
      <c r="E19" s="1" t="s">
        <v>100</v>
      </c>
      <c r="F19" s="1" t="s">
        <v>93</v>
      </c>
      <c r="G19" s="1" t="s">
        <v>59</v>
      </c>
    </row>
    <row r="20" customFormat="false" ht="15" hidden="false" customHeight="false" outlineLevel="0" collapsed="false">
      <c r="A20" s="1" t="s">
        <v>101</v>
      </c>
      <c r="B20" s="1" t="s">
        <v>102</v>
      </c>
      <c r="C20" s="1" t="s">
        <v>69</v>
      </c>
      <c r="D20" s="1" t="n">
        <v>0.17</v>
      </c>
      <c r="E20" s="1" t="s">
        <v>103</v>
      </c>
      <c r="F20" s="1" t="s">
        <v>93</v>
      </c>
      <c r="G20" s="1" t="s">
        <v>59</v>
      </c>
    </row>
    <row r="21" customFormat="false" ht="15" hidden="false" customHeight="false" outlineLevel="0" collapsed="false">
      <c r="A21" s="1" t="s">
        <v>101</v>
      </c>
      <c r="B21" s="1" t="s">
        <v>89</v>
      </c>
      <c r="C21" s="1" t="s">
        <v>69</v>
      </c>
      <c r="D21" s="1" t="n">
        <v>0.08</v>
      </c>
      <c r="E21" s="1" t="s">
        <v>103</v>
      </c>
      <c r="F21" s="1" t="s">
        <v>93</v>
      </c>
      <c r="G21" s="1" t="s">
        <v>59</v>
      </c>
    </row>
    <row r="22" customFormat="false" ht="15" hidden="false" customHeight="false" outlineLevel="0" collapsed="false">
      <c r="A22" s="1" t="s">
        <v>104</v>
      </c>
      <c r="B22" s="1" t="s">
        <v>105</v>
      </c>
      <c r="C22" s="1" t="s">
        <v>73</v>
      </c>
      <c r="D22" s="1" t="n">
        <v>0.066</v>
      </c>
      <c r="E22" s="1" t="s">
        <v>106</v>
      </c>
      <c r="F22" s="1" t="s">
        <v>107</v>
      </c>
      <c r="G22" s="1" t="s">
        <v>59</v>
      </c>
    </row>
    <row r="23" customFormat="false" ht="15" hidden="false" customHeight="false" outlineLevel="0" collapsed="false">
      <c r="A23" s="1" t="s">
        <v>104</v>
      </c>
      <c r="B23" s="1" t="s">
        <v>108</v>
      </c>
      <c r="C23" s="1" t="s">
        <v>97</v>
      </c>
      <c r="D23" s="1" t="n">
        <v>0.0112</v>
      </c>
      <c r="E23" s="1" t="s">
        <v>109</v>
      </c>
      <c r="F23" s="1" t="s">
        <v>107</v>
      </c>
      <c r="G23" s="1" t="s">
        <v>59</v>
      </c>
    </row>
    <row r="24" customFormat="false" ht="15" hidden="false" customHeight="false" outlineLevel="0" collapsed="false">
      <c r="A24" s="1" t="s">
        <v>104</v>
      </c>
      <c r="B24" s="1" t="s">
        <v>110</v>
      </c>
      <c r="C24" s="1" t="s">
        <v>111</v>
      </c>
      <c r="D24" s="1" t="n">
        <f aca="false">0.0004109*730</f>
        <v>0.299957</v>
      </c>
      <c r="E24" s="1" t="s">
        <v>112</v>
      </c>
      <c r="F24" s="1" t="s">
        <v>107</v>
      </c>
      <c r="G24" s="1" t="s">
        <v>59</v>
      </c>
    </row>
    <row r="25" customFormat="false" ht="15" hidden="false" customHeight="false" outlineLevel="0" collapsed="false">
      <c r="A25" s="1" t="s">
        <v>104</v>
      </c>
      <c r="B25" s="1" t="s">
        <v>113</v>
      </c>
      <c r="C25" s="1" t="s">
        <v>111</v>
      </c>
      <c r="D25" s="1" t="n">
        <f aca="false">0.000137*730</f>
        <v>0.10001</v>
      </c>
      <c r="E25" s="1" t="s">
        <v>114</v>
      </c>
      <c r="F25" s="1" t="s">
        <v>107</v>
      </c>
      <c r="G25" s="1" t="s">
        <v>59</v>
      </c>
    </row>
    <row r="26" customFormat="false" ht="15" hidden="false" customHeight="false" outlineLevel="0" collapsed="false">
      <c r="A26" s="1" t="s">
        <v>115</v>
      </c>
      <c r="B26" s="1" t="s">
        <v>116</v>
      </c>
      <c r="C26" s="1" t="s">
        <v>117</v>
      </c>
      <c r="D26" s="1" t="n">
        <v>0.09</v>
      </c>
      <c r="E26" s="1" t="s">
        <v>118</v>
      </c>
      <c r="F26" s="1"/>
      <c r="G26" s="1" t="s">
        <v>59</v>
      </c>
    </row>
    <row r="27" customFormat="false" ht="15" hidden="false" customHeight="false" outlineLevel="0" collapsed="false">
      <c r="A27" s="1" t="s">
        <v>115</v>
      </c>
      <c r="B27" s="1" t="s">
        <v>119</v>
      </c>
      <c r="C27" s="1" t="s">
        <v>117</v>
      </c>
      <c r="D27" s="1" t="n">
        <v>0.02</v>
      </c>
      <c r="E27" s="1" t="s">
        <v>118</v>
      </c>
      <c r="F27" s="1"/>
      <c r="G27" s="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133</v>
      </c>
      <c r="N3" s="2" t="s">
        <v>134</v>
      </c>
      <c r="O3" s="2" t="s">
        <v>135</v>
      </c>
      <c r="P3" s="2" t="s">
        <v>136</v>
      </c>
      <c r="Q3" s="2" t="s">
        <v>137</v>
      </c>
    </row>
    <row r="4" customFormat="false" ht="15" hidden="false" customHeight="false" outlineLevel="0" collapsed="false">
      <c r="A4" s="1" t="s">
        <v>71</v>
      </c>
      <c r="B4" s="1" t="s">
        <v>2</v>
      </c>
      <c r="C4" s="1" t="n">
        <v>1</v>
      </c>
      <c r="D4" s="1" t="n">
        <v>0.5</v>
      </c>
      <c r="E4" s="1" t="n">
        <f aca="false">INDEX(Assumptions!$B$7:$D$7,$C4)*INDEX(Assumptions!$B$9:$D$9,$C4)/INDEX(Assumptions!$B$10:$D$10,$C4)</f>
        <v>0.0333333333333333</v>
      </c>
      <c r="F4" s="1" t="n">
        <f aca="false">1+INDEX(Assumptions!$B$11:$D$11,$C4)</f>
        <v>2</v>
      </c>
      <c r="G4" s="1" t="n">
        <f aca="false">CEILING(MAX(E4/F4,8),8)</f>
        <v>8</v>
      </c>
      <c r="H4" s="1" t="n">
        <f aca="false">INDEX(Assumptions!$B$4:$D$4,$C4)*INDEX(Assumptions!$B$5:$D$5,$C4)*INDEX(Assumptions!$B$12:$D$12,$C4)</f>
        <v>12500</v>
      </c>
      <c r="I4" s="1" t="n">
        <v>1</v>
      </c>
      <c r="J4" s="1" t="n">
        <f aca="false">G4*Prices!$D$9*(2+INDEX(Assumptions!$B$11:$D$11,$C4))*INDEX(Assumptions!$B$8:$D$8,$C4)</f>
        <v>2190</v>
      </c>
      <c r="K4" s="1" t="n">
        <f aca="false">H4*Prices!$D$10*(2+INDEX(Assumptions!$B$11:$D$11,$C4))</f>
        <v>4312.5</v>
      </c>
      <c r="L4" s="1" t="n">
        <f aca="false">H4*INDEX(Assumptions!$B$15:$D$15,$C4)*Prices!$D$11</f>
        <v>593.75</v>
      </c>
      <c r="M4" s="1" t="n">
        <f aca="false">INDEX(Assumptions!$B$18:$D$18,$C4)*Prices!$D$26+IF(D4&lt;1,INDEX(Assumptions!$B$19:$D$19,$C4)*Prices!$D$27,0)</f>
        <v>90</v>
      </c>
      <c r="N4" s="1" t="n">
        <f aca="false">1+D4*INDEX(Assumptions!$B$16:$D$16,$C4)</f>
        <v>1</v>
      </c>
      <c r="O4" s="1" t="n">
        <f aca="false">IF(D4&lt;1,INDEX(Assumptions!$B$17:$D$17,$C4)*J4*N4,0)</f>
        <v>109.5</v>
      </c>
      <c r="P4" s="1" t="n">
        <f aca="false">(J4+K4+L4)*N4+O4+M4</f>
        <v>7295.75</v>
      </c>
      <c r="Q4" s="1" t="n">
        <f aca="false">P4/INDEX(Assumptions!$B$4:$D$4,$C4)</f>
        <v>145.915</v>
      </c>
    </row>
    <row r="5" customFormat="false" ht="15" hidden="false" customHeight="false" outlineLevel="0" collapsed="false">
      <c r="A5" s="1" t="s">
        <v>71</v>
      </c>
      <c r="B5" s="1" t="s">
        <v>3</v>
      </c>
      <c r="C5" s="1" t="n">
        <v>2</v>
      </c>
      <c r="D5" s="1" t="n">
        <v>0.5</v>
      </c>
      <c r="E5" s="1" t="n">
        <f aca="false">INDEX(Assumptions!$B$7:$D$7,$C5)*INDEX(Assumptions!$B$9:$D$9,$C5)/INDEX(Assumptions!$B$10:$D$10,$C5)</f>
        <v>0.0666666666666667</v>
      </c>
      <c r="F5" s="1" t="n">
        <f aca="false">1+INDEX(Assumptions!$B$11:$D$11,$C5)</f>
        <v>3</v>
      </c>
      <c r="G5" s="1" t="n">
        <f aca="false">CEILING(MAX(E5/F5,8),8)</f>
        <v>8</v>
      </c>
      <c r="H5" s="1" t="n">
        <f aca="false">INDEX(Assumptions!$B$4:$D$4,$C5)*INDEX(Assumptions!$B$5:$D$5,$C5)*INDEX(Assumptions!$B$12:$D$12,$C5)</f>
        <v>13750</v>
      </c>
      <c r="I5" s="1" t="n">
        <v>1</v>
      </c>
      <c r="J5" s="1" t="n">
        <f aca="false">G5*Prices!$D$9*(2+INDEX(Assumptions!$B$11:$D$11,$C5))*INDEX(Assumptions!$B$8:$D$8,$C5)</f>
        <v>2920</v>
      </c>
      <c r="K5" s="1" t="n">
        <f aca="false">H5*Prices!$D$10*(2+INDEX(Assumptions!$B$11:$D$11,$C5))</f>
        <v>6325</v>
      </c>
      <c r="L5" s="1" t="n">
        <f aca="false">H5*INDEX(Assumptions!$B$15:$D$15,$C5)*Prices!$D$11</f>
        <v>1306.25</v>
      </c>
      <c r="M5" s="1" t="n">
        <f aca="false">INDEX(Assumptions!$B$18:$D$18,$C5)*Prices!$D$26+IF(D5&lt;1,INDEX(Assumptions!$B$19:$D$19,$C5)*Prices!$D$27,0)</f>
        <v>190</v>
      </c>
      <c r="N5" s="1" t="n">
        <f aca="false">1+D5*INDEX(Assumptions!$B$16:$D$16,$C5)</f>
        <v>1.04</v>
      </c>
      <c r="O5" s="1" t="n">
        <f aca="false">IF(D5&lt;1,INDEX(Assumptions!$B$17:$D$17,$C5)*J5*N5,0)</f>
        <v>303.68</v>
      </c>
      <c r="P5" s="1" t="n">
        <f aca="false">(J5+K5+L5)*N5+O5+M5</f>
        <v>11466.98</v>
      </c>
      <c r="Q5" s="1" t="n">
        <f aca="false">P5/INDEX(Assumptions!$B$4:$D$4,$C5)</f>
        <v>229.3396</v>
      </c>
    </row>
    <row r="6" customFormat="false" ht="15" hidden="false" customHeight="false" outlineLevel="0" collapsed="false">
      <c r="A6" s="1" t="s">
        <v>71</v>
      </c>
      <c r="B6" s="1" t="s">
        <v>4</v>
      </c>
      <c r="C6" s="1" t="n">
        <v>3</v>
      </c>
      <c r="D6" s="1" t="n">
        <v>0.5</v>
      </c>
      <c r="E6" s="1" t="n">
        <f aca="false">INDEX(Assumptions!$B$7:$D$7,$C6)*INDEX(Assumptions!$B$9:$D$9,$C6)/INDEX(Assumptions!$B$10:$D$10,$C6)</f>
        <v>0.16</v>
      </c>
      <c r="F6" s="1" t="n">
        <f aca="false">1+INDEX(Assumptions!$B$11:$D$11,$C6)</f>
        <v>4</v>
      </c>
      <c r="G6" s="1" t="n">
        <f aca="false">CEILING(MAX(E6/F6,8),8)</f>
        <v>8</v>
      </c>
      <c r="H6" s="1" t="n">
        <f aca="false">INDEX(Assumptions!$B$4:$D$4,$C6)*INDEX(Assumptions!$B$5:$D$5,$C6)*INDEX(Assumptions!$B$12:$D$12,$C6)</f>
        <v>15000</v>
      </c>
      <c r="I6" s="1" t="n">
        <v>1</v>
      </c>
      <c r="J6" s="1" t="n">
        <f aca="false">G6*Prices!$D$9*(2+INDEX(Assumptions!$B$11:$D$11,$C6))*INDEX(Assumptions!$B$8:$D$8,$C6)</f>
        <v>3650</v>
      </c>
      <c r="K6" s="1" t="n">
        <f aca="false">H6*Prices!$D$10*(2+INDEX(Assumptions!$B$11:$D$11,$C6))</f>
        <v>8625</v>
      </c>
      <c r="L6" s="1" t="n">
        <f aca="false">H6*INDEX(Assumptions!$B$15:$D$15,$C6)*Prices!$D$11</f>
        <v>2137.5</v>
      </c>
      <c r="M6" s="1" t="n">
        <f aca="false">INDEX(Assumptions!$B$18:$D$18,$C6)*Prices!$D$26+IF(D6&lt;1,INDEX(Assumptions!$B$19:$D$19,$C6)*Prices!$D$27,0)</f>
        <v>490</v>
      </c>
      <c r="N6" s="1" t="n">
        <f aca="false">1+D6*INDEX(Assumptions!$B$16:$D$16,$C6)</f>
        <v>1.075</v>
      </c>
      <c r="O6" s="1" t="n">
        <f aca="false">IF(D6&lt;1,INDEX(Assumptions!$B$17:$D$17,$C6)*J6*N6,0)</f>
        <v>588.5625</v>
      </c>
      <c r="P6" s="1" t="n">
        <f aca="false">(J6+K6+L6)*N6+O6+M6</f>
        <v>16572</v>
      </c>
      <c r="Q6" s="1" t="n">
        <f aca="false">P6/INDEX(Assumptions!$B$4:$D$4,$C6)</f>
        <v>331.44</v>
      </c>
    </row>
    <row r="7" customFormat="false" ht="15" hidden="false" customHeight="false" outlineLevel="0" collapsed="false">
      <c r="A7" s="1" t="s">
        <v>71</v>
      </c>
      <c r="B7" s="1" t="s">
        <v>138</v>
      </c>
      <c r="C7" s="1" t="n">
        <v>2</v>
      </c>
      <c r="D7" s="1" t="n">
        <v>0.2</v>
      </c>
      <c r="E7" s="1" t="n">
        <f aca="false">INDEX(Assumptions!$B$7:$D$7,$C7)*INDEX(Assumptions!$B$9:$D$9,$C7)/INDEX(Assumptions!$B$10:$D$10,$C7)</f>
        <v>0.0666666666666667</v>
      </c>
      <c r="F7" s="1" t="n">
        <f aca="false">1+INDEX(Assumptions!$B$11:$D$11,$C7)</f>
        <v>3</v>
      </c>
      <c r="G7" s="1" t="n">
        <f aca="false">CEILING(MAX(E7/F7,8),8)</f>
        <v>8</v>
      </c>
      <c r="H7" s="1" t="n">
        <f aca="false">INDEX(Assumptions!$B$4:$D$4,$C7)*INDEX(Assumptions!$B$5:$D$5,$C7)*INDEX(Assumptions!$B$12:$D$12,$C7)</f>
        <v>13750</v>
      </c>
      <c r="I7" s="1" t="n">
        <v>1</v>
      </c>
      <c r="J7" s="1" t="n">
        <f aca="false">G7*Prices!$D$9*(2+INDEX(Assumptions!$B$11:$D$11,$C7))*INDEX(Assumptions!$B$8:$D$8,$C7)</f>
        <v>2920</v>
      </c>
      <c r="K7" s="1" t="n">
        <f aca="false">H7*Prices!$D$10*(2+INDEX(Assumptions!$B$11:$D$11,$C7))</f>
        <v>6325</v>
      </c>
      <c r="L7" s="1" t="n">
        <f aca="false">H7*INDEX(Assumptions!$B$15:$D$15,$C7)*Prices!$D$11</f>
        <v>1306.25</v>
      </c>
      <c r="M7" s="1" t="n">
        <f aca="false">INDEX(Assumptions!$B$18:$D$18,$C7)*Prices!$D$26+IF(D7&lt;1,INDEX(Assumptions!$B$19:$D$19,$C7)*Prices!$D$27,0)</f>
        <v>190</v>
      </c>
      <c r="N7" s="1" t="n">
        <f aca="false">1+D7*INDEX(Assumptions!$B$16:$D$16,$C7)</f>
        <v>1.016</v>
      </c>
      <c r="O7" s="1" t="n">
        <f aca="false">IF(D7&lt;1,INDEX(Assumptions!$B$17:$D$17,$C7)*J7*N7,0)</f>
        <v>296.672</v>
      </c>
      <c r="P7" s="1" t="n">
        <f aca="false">(J7+K7+L7)*N7+O7+M7</f>
        <v>11206.742</v>
      </c>
      <c r="Q7" s="1" t="n">
        <f aca="false">P7/INDEX(Assumptions!$B$4:$D$4,$C7)</f>
        <v>224.13484</v>
      </c>
    </row>
    <row r="8" customFormat="false" ht="15" hidden="false" customHeight="false" outlineLevel="0" collapsed="false">
      <c r="A8" s="1" t="s">
        <v>71</v>
      </c>
      <c r="B8" s="1" t="s">
        <v>139</v>
      </c>
      <c r="C8" s="1" t="n">
        <v>2</v>
      </c>
      <c r="D8" s="1" t="n">
        <v>1</v>
      </c>
      <c r="E8" s="1" t="n">
        <f aca="false">INDEX(Assumptions!$B$7:$D$7,$C8)*INDEX(Assumptions!$B$9:$D$9,$C8)/INDEX(Assumptions!$B$10:$D$10,$C8)</f>
        <v>0.0666666666666667</v>
      </c>
      <c r="F8" s="1" t="n">
        <f aca="false">1+INDEX(Assumptions!$B$11:$D$11,$C8)</f>
        <v>3</v>
      </c>
      <c r="G8" s="1" t="n">
        <f aca="false">CEILING(MAX(E8/F8,8),8)</f>
        <v>8</v>
      </c>
      <c r="H8" s="1" t="n">
        <f aca="false">INDEX(Assumptions!$B$4:$D$4,$C8)*INDEX(Assumptions!$B$5:$D$5,$C8)*INDEX(Assumptions!$B$12:$D$12,$C8)</f>
        <v>13750</v>
      </c>
      <c r="I8" s="1" t="n">
        <v>1</v>
      </c>
      <c r="J8" s="1" t="n">
        <f aca="false">G8*Prices!$D$9*(2+INDEX(Assumptions!$B$11:$D$11,$C8))*INDEX(Assumptions!$B$8:$D$8,$C8)</f>
        <v>2920</v>
      </c>
      <c r="K8" s="1" t="n">
        <f aca="false">H8*Prices!$D$10*(2+INDEX(Assumptions!$B$11:$D$11,$C8))</f>
        <v>6325</v>
      </c>
      <c r="L8" s="1" t="n">
        <f aca="false">H8*INDEX(Assumptions!$B$15:$D$15,$C8)*Prices!$D$11</f>
        <v>1306.25</v>
      </c>
      <c r="M8" s="1" t="n">
        <f aca="false">INDEX(Assumptions!$B$18:$D$18,$C8)*Prices!$D$26+IF(D8&lt;1,INDEX(Assumptions!$B$19:$D$19,$C8)*Prices!$D$27,0)</f>
        <v>180</v>
      </c>
      <c r="N8" s="1" t="n">
        <f aca="false">1+D8*INDEX(Assumptions!$B$16:$D$16,$C8)</f>
        <v>1.08</v>
      </c>
      <c r="O8" s="1" t="n">
        <f aca="false">IF(D8&lt;1,INDEX(Assumptions!$B$17:$D$17,$C8)*J8*N8,0)</f>
        <v>0</v>
      </c>
      <c r="P8" s="1" t="n">
        <f aca="false">(J8+K8+L8)*N8+O8+M8</f>
        <v>11575.35</v>
      </c>
      <c r="Q8" s="1" t="n">
        <f aca="false">P8/INDEX(Assumptions!$B$4:$D$4,$C8)</f>
        <v>231.507</v>
      </c>
    </row>
    <row r="9" customFormat="false" ht="15" hidden="false" customHeight="false" outlineLevel="0" collapsed="false">
      <c r="A9" s="1" t="s">
        <v>80</v>
      </c>
      <c r="B9" s="1" t="s">
        <v>2</v>
      </c>
      <c r="C9" s="1" t="n">
        <v>1</v>
      </c>
      <c r="D9" s="1" t="n">
        <v>0.5</v>
      </c>
      <c r="E9" s="1" t="n">
        <f aca="false">INDEX(Assumptions!$B$7:$D$7,$C9)*INDEX(Assumptions!$B$9:$D$9,$C9)/INDEX(Assumptions!$B$10:$D$10,$C9)</f>
        <v>0.0333333333333333</v>
      </c>
      <c r="F9" s="1" t="n">
        <f aca="false">1+INDEX(Assumptions!$B$11:$D$11,$C9)</f>
        <v>2</v>
      </c>
      <c r="G9" s="1" t="n">
        <f aca="false">CEILING(MAX(E9/F9,8),8)</f>
        <v>8</v>
      </c>
      <c r="H9" s="1" t="n">
        <f aca="false">INDEX(Assumptions!$B$4:$D$4,$C9)*INDEX(Assumptions!$B$5:$D$5,$C9)*INDEX(Assumptions!$B$12:$D$12,$C9)</f>
        <v>12500</v>
      </c>
      <c r="I9" s="1" t="n">
        <v>1</v>
      </c>
      <c r="J9" s="1" t="n">
        <f aca="false">G9*Prices!$D$12*Prices!$D$13*(1+INDEX(Assumptions!$B$11:$D$11,$C9))*INDEX(Assumptions!$B$8:$D$8,$C9)</f>
        <v>2201.68</v>
      </c>
      <c r="K9" s="1" t="n">
        <f aca="false">H9*Prices!$D$14</f>
        <v>2812.5</v>
      </c>
      <c r="L9" s="1" t="n">
        <f aca="false">H9*INDEX(Assumptions!$B$15:$D$15,$C9)*Prices!$D$15</f>
        <v>131.25</v>
      </c>
      <c r="M9" s="1" t="n">
        <f aca="false">INDEX(Assumptions!$B$18:$D$18,$C9)*Prices!$D$26+IF(D9&lt;1,INDEX(Assumptions!$B$19:$D$19,$C9)*Prices!$D$27,0)</f>
        <v>90</v>
      </c>
      <c r="N9" s="1" t="n">
        <f aca="false">1+D9*INDEX(Assumptions!$B$16:$D$16,$C9)</f>
        <v>1</v>
      </c>
      <c r="O9" s="1" t="n">
        <f aca="false">IF(D9&lt;1,INDEX(Assumptions!$B$17:$D$17,$C9)*J9*N9,0)</f>
        <v>110.084</v>
      </c>
      <c r="P9" s="1" t="n">
        <f aca="false">(J9+K9+L9)*N9+O9+M9</f>
        <v>5345.514</v>
      </c>
      <c r="Q9" s="1" t="n">
        <f aca="false">P9/INDEX(Assumptions!$B$4:$D$4,$C9)</f>
        <v>106.91028</v>
      </c>
    </row>
    <row r="10" customFormat="false" ht="15" hidden="false" customHeight="false" outlineLevel="0" collapsed="false">
      <c r="A10" s="1" t="s">
        <v>80</v>
      </c>
      <c r="B10" s="1" t="s">
        <v>3</v>
      </c>
      <c r="C10" s="1" t="n">
        <v>2</v>
      </c>
      <c r="D10" s="1" t="n">
        <v>0.5</v>
      </c>
      <c r="E10" s="1" t="n">
        <f aca="false">INDEX(Assumptions!$B$7:$D$7,$C10)*INDEX(Assumptions!$B$9:$D$9,$C10)/INDEX(Assumptions!$B$10:$D$10,$C10)</f>
        <v>0.0666666666666667</v>
      </c>
      <c r="F10" s="1" t="n">
        <f aca="false">1+INDEX(Assumptions!$B$11:$D$11,$C10)</f>
        <v>3</v>
      </c>
      <c r="G10" s="1" t="n">
        <f aca="false">CEILING(MAX(E10/F10,8),8)</f>
        <v>8</v>
      </c>
      <c r="H10" s="1" t="n">
        <f aca="false">INDEX(Assumptions!$B$4:$D$4,$C10)*INDEX(Assumptions!$B$5:$D$5,$C10)*INDEX(Assumptions!$B$12:$D$12,$C10)</f>
        <v>13750</v>
      </c>
      <c r="I10" s="1" t="n">
        <v>1</v>
      </c>
      <c r="J10" s="1" t="n">
        <f aca="false">G10*Prices!$D$12*Prices!$D$13*(1+INDEX(Assumptions!$B$11:$D$11,$C10))*INDEX(Assumptions!$B$8:$D$8,$C10)</f>
        <v>3302.52</v>
      </c>
      <c r="K10" s="1" t="n">
        <f aca="false">H10*Prices!$D$14</f>
        <v>3093.75</v>
      </c>
      <c r="L10" s="1" t="n">
        <f aca="false">H10*INDEX(Assumptions!$B$15:$D$15,$C10)*Prices!$D$15</f>
        <v>288.75</v>
      </c>
      <c r="M10" s="1" t="n">
        <f aca="false">INDEX(Assumptions!$B$18:$D$18,$C10)*Prices!$D$26+IF(D10&lt;1,INDEX(Assumptions!$B$19:$D$19,$C10)*Prices!$D$27,0)</f>
        <v>190</v>
      </c>
      <c r="N10" s="1" t="n">
        <f aca="false">1+D10*INDEX(Assumptions!$B$16:$D$16,$C10)</f>
        <v>1.04</v>
      </c>
      <c r="O10" s="1" t="n">
        <f aca="false">IF(D10&lt;1,INDEX(Assumptions!$B$17:$D$17,$C10)*J10*N10,0)</f>
        <v>343.46208</v>
      </c>
      <c r="P10" s="1" t="n">
        <f aca="false">(J10+K10+L10)*N10+O10+M10</f>
        <v>7485.88288</v>
      </c>
      <c r="Q10" s="1" t="n">
        <f aca="false">P10/INDEX(Assumptions!$B$4:$D$4,$C10)</f>
        <v>149.7176576</v>
      </c>
    </row>
    <row r="11" customFormat="false" ht="15" hidden="false" customHeight="false" outlineLevel="0" collapsed="false">
      <c r="A11" s="1" t="s">
        <v>80</v>
      </c>
      <c r="B11" s="1" t="s">
        <v>4</v>
      </c>
      <c r="C11" s="1" t="n">
        <v>3</v>
      </c>
      <c r="D11" s="1" t="n">
        <v>0.5</v>
      </c>
      <c r="E11" s="1" t="n">
        <f aca="false">INDEX(Assumptions!$B$7:$D$7,$C11)*INDEX(Assumptions!$B$9:$D$9,$C11)/INDEX(Assumptions!$B$10:$D$10,$C11)</f>
        <v>0.16</v>
      </c>
      <c r="F11" s="1" t="n">
        <f aca="false">1+INDEX(Assumptions!$B$11:$D$11,$C11)</f>
        <v>4</v>
      </c>
      <c r="G11" s="1" t="n">
        <f aca="false">CEILING(MAX(E11/F11,8),8)</f>
        <v>8</v>
      </c>
      <c r="H11" s="1" t="n">
        <f aca="false">INDEX(Assumptions!$B$4:$D$4,$C11)*INDEX(Assumptions!$B$5:$D$5,$C11)*INDEX(Assumptions!$B$12:$D$12,$C11)</f>
        <v>15000</v>
      </c>
      <c r="I11" s="1" t="n">
        <v>1</v>
      </c>
      <c r="J11" s="1" t="n">
        <f aca="false">G11*Prices!$D$12*Prices!$D$13*(1+INDEX(Assumptions!$B$11:$D$11,$C11))*INDEX(Assumptions!$B$8:$D$8,$C11)</f>
        <v>4403.36</v>
      </c>
      <c r="K11" s="1" t="n">
        <f aca="false">H11*Prices!$D$14</f>
        <v>3375</v>
      </c>
      <c r="L11" s="1" t="n">
        <f aca="false">H11*INDEX(Assumptions!$B$15:$D$15,$C11)*Prices!$D$15</f>
        <v>472.5</v>
      </c>
      <c r="M11" s="1" t="n">
        <f aca="false">INDEX(Assumptions!$B$18:$D$18,$C11)*Prices!$D$26+IF(D11&lt;1,INDEX(Assumptions!$B$19:$D$19,$C11)*Prices!$D$27,0)</f>
        <v>490</v>
      </c>
      <c r="N11" s="1" t="n">
        <f aca="false">1+D11*INDEX(Assumptions!$B$16:$D$16,$C11)</f>
        <v>1.075</v>
      </c>
      <c r="O11" s="1" t="n">
        <f aca="false">IF(D11&lt;1,INDEX(Assumptions!$B$17:$D$17,$C11)*J11*N11,0)</f>
        <v>710.0418</v>
      </c>
      <c r="P11" s="1" t="n">
        <f aca="false">(J11+K11+L11)*N11+O11+M11</f>
        <v>10069.7163</v>
      </c>
      <c r="Q11" s="1" t="n">
        <f aca="false">P11/INDEX(Assumptions!$B$4:$D$4,$C11)</f>
        <v>201.394326</v>
      </c>
    </row>
    <row r="12" customFormat="false" ht="15" hidden="false" customHeight="false" outlineLevel="0" collapsed="false">
      <c r="A12" s="1" t="s">
        <v>80</v>
      </c>
      <c r="B12" s="1" t="s">
        <v>138</v>
      </c>
      <c r="C12" s="1" t="n">
        <v>2</v>
      </c>
      <c r="D12" s="1" t="n">
        <v>0.2</v>
      </c>
      <c r="E12" s="1" t="n">
        <f aca="false">INDEX(Assumptions!$B$7:$D$7,$C12)*INDEX(Assumptions!$B$9:$D$9,$C12)/INDEX(Assumptions!$B$10:$D$10,$C12)</f>
        <v>0.0666666666666667</v>
      </c>
      <c r="F12" s="1" t="n">
        <f aca="false">1+INDEX(Assumptions!$B$11:$D$11,$C12)</f>
        <v>3</v>
      </c>
      <c r="G12" s="1" t="n">
        <f aca="false">CEILING(MAX(E12/F12,8),8)</f>
        <v>8</v>
      </c>
      <c r="H12" s="1" t="n">
        <f aca="false">INDEX(Assumptions!$B$4:$D$4,$C12)*INDEX(Assumptions!$B$5:$D$5,$C12)*INDEX(Assumptions!$B$12:$D$12,$C12)</f>
        <v>13750</v>
      </c>
      <c r="I12" s="1" t="n">
        <v>1</v>
      </c>
      <c r="J12" s="1" t="n">
        <f aca="false">G12*Prices!$D$12*Prices!$D$13*(1+INDEX(Assumptions!$B$11:$D$11,$C12))*INDEX(Assumptions!$B$8:$D$8,$C12)</f>
        <v>3302.52</v>
      </c>
      <c r="K12" s="1" t="n">
        <f aca="false">H12*Prices!$D$14</f>
        <v>3093.75</v>
      </c>
      <c r="L12" s="1" t="n">
        <f aca="false">H12*INDEX(Assumptions!$B$15:$D$15,$C12)*Prices!$D$15</f>
        <v>288.75</v>
      </c>
      <c r="M12" s="1" t="n">
        <f aca="false">INDEX(Assumptions!$B$18:$D$18,$C12)*Prices!$D$26+IF(D12&lt;1,INDEX(Assumptions!$B$19:$D$19,$C12)*Prices!$D$27,0)</f>
        <v>190</v>
      </c>
      <c r="N12" s="1" t="n">
        <f aca="false">1+D12*INDEX(Assumptions!$B$16:$D$16,$C12)</f>
        <v>1.016</v>
      </c>
      <c r="O12" s="1" t="n">
        <f aca="false">IF(D12&lt;1,INDEX(Assumptions!$B$17:$D$17,$C12)*J12*N12,0)</f>
        <v>335.536032</v>
      </c>
      <c r="P12" s="1" t="n">
        <f aca="false">(J12+K12+L12)*N12+O12+M12</f>
        <v>7317.516352</v>
      </c>
      <c r="Q12" s="1" t="n">
        <f aca="false">P12/INDEX(Assumptions!$B$4:$D$4,$C12)</f>
        <v>146.35032704</v>
      </c>
    </row>
    <row r="13" customFormat="false" ht="15" hidden="false" customHeight="false" outlineLevel="0" collapsed="false">
      <c r="A13" s="1" t="s">
        <v>80</v>
      </c>
      <c r="B13" s="1" t="s">
        <v>139</v>
      </c>
      <c r="C13" s="1" t="n">
        <v>2</v>
      </c>
      <c r="D13" s="1" t="n">
        <v>1</v>
      </c>
      <c r="E13" s="1" t="n">
        <f aca="false">INDEX(Assumptions!$B$7:$D$7,$C13)*INDEX(Assumptions!$B$9:$D$9,$C13)/INDEX(Assumptions!$B$10:$D$10,$C13)</f>
        <v>0.0666666666666667</v>
      </c>
      <c r="F13" s="1" t="n">
        <f aca="false">1+INDEX(Assumptions!$B$11:$D$11,$C13)</f>
        <v>3</v>
      </c>
      <c r="G13" s="1" t="n">
        <f aca="false">CEILING(MAX(E13/F13,8),8)</f>
        <v>8</v>
      </c>
      <c r="H13" s="1" t="n">
        <f aca="false">INDEX(Assumptions!$B$4:$D$4,$C13)*INDEX(Assumptions!$B$5:$D$5,$C13)*INDEX(Assumptions!$B$12:$D$12,$C13)</f>
        <v>13750</v>
      </c>
      <c r="I13" s="1" t="n">
        <v>1</v>
      </c>
      <c r="J13" s="1" t="n">
        <f aca="false">G13*Prices!$D$12*Prices!$D$13*(1+INDEX(Assumptions!$B$11:$D$11,$C13))*INDEX(Assumptions!$B$8:$D$8,$C13)</f>
        <v>3302.52</v>
      </c>
      <c r="K13" s="1" t="n">
        <f aca="false">H13*Prices!$D$14</f>
        <v>3093.75</v>
      </c>
      <c r="L13" s="1" t="n">
        <f aca="false">H13*INDEX(Assumptions!$B$15:$D$15,$C13)*Prices!$D$15</f>
        <v>288.75</v>
      </c>
      <c r="M13" s="1" t="n">
        <f aca="false">INDEX(Assumptions!$B$18:$D$18,$C13)*Prices!$D$26+IF(D13&lt;1,INDEX(Assumptions!$B$19:$D$19,$C13)*Prices!$D$27,0)</f>
        <v>180</v>
      </c>
      <c r="N13" s="1" t="n">
        <f aca="false">1+D13*INDEX(Assumptions!$B$16:$D$16,$C13)</f>
        <v>1.08</v>
      </c>
      <c r="O13" s="1" t="n">
        <f aca="false">IF(D13&lt;1,INDEX(Assumptions!$B$17:$D$17,$C13)*J13*N13,0)</f>
        <v>0</v>
      </c>
      <c r="P13" s="1" t="n">
        <f aca="false">(J13+K13+L13)*N13+O13+M13</f>
        <v>7399.8216</v>
      </c>
      <c r="Q13" s="1" t="n">
        <f aca="false">P13/INDEX(Assumptions!$B$4:$D$4,$C13)</f>
        <v>147.996432</v>
      </c>
    </row>
    <row r="14" customFormat="false" ht="15" hidden="false" customHeight="false" outlineLevel="0" collapsed="false">
      <c r="A14" s="1" t="s">
        <v>140</v>
      </c>
      <c r="B14" s="1" t="s">
        <v>2</v>
      </c>
      <c r="C14" s="1" t="n">
        <v>1</v>
      </c>
      <c r="D14" s="1" t="n">
        <v>0.5</v>
      </c>
      <c r="E14" s="1" t="n">
        <f aca="false">INDEX(Assumptions!$B$7:$D$7,$C14)*INDEX(Assumptions!$B$9:$D$9,$C14)/INDEX(Assumptions!$B$10:$D$10,$C14)</f>
        <v>0.0333333333333333</v>
      </c>
      <c r="F14" s="1" t="n">
        <f aca="false">1+INDEX(Assumptions!$B$11:$D$11,$C14)</f>
        <v>2</v>
      </c>
      <c r="G14" s="1" t="n">
        <f aca="false">CEILING(MAX(E14/F14,8),8)</f>
        <v>8</v>
      </c>
      <c r="H14" s="1" t="n">
        <f aca="false">INDEX(Assumptions!$B$4:$D$4,$C14)*INDEX(Assumptions!$B$5:$D$5,$C14)*INDEX(Assumptions!$B$12:$D$12,$C14)</f>
        <v>12500</v>
      </c>
      <c r="I14" s="1" t="n">
        <v>1</v>
      </c>
      <c r="J14" s="1" t="n">
        <f aca="false">G14*((Prices!$D$16+INDEX(Assumptions!$B$24:$D$24,$C14)*Prices!$D$18)+INDEX(Assumptions!$B$11:$D$11,$C14)*(Prices!$D$17+INDEX(Assumptions!$B$24:$D$24,$C14)*Prices!$D$19))*INDEX(Assumptions!$B$8:$D$8,$C14)</f>
        <v>1459.416</v>
      </c>
      <c r="K14" s="1" t="n">
        <f aca="false">H14*Prices!$D$20*(2+INDEX(Assumptions!$B$11:$D$11,$C14))</f>
        <v>6375</v>
      </c>
      <c r="L14" s="1" t="n">
        <f aca="false">H14*INDEX(Assumptions!$B$15:$D$15,$C14)*Prices!$D$21</f>
        <v>500</v>
      </c>
      <c r="M14" s="1" t="n">
        <f aca="false">INDEX(Assumptions!$B$18:$D$18,$C14)*Prices!$D$26+IF(D14&lt;1,INDEX(Assumptions!$B$19:$D$19,$C14)*Prices!$D$27,0)</f>
        <v>90</v>
      </c>
      <c r="N14" s="1" t="n">
        <f aca="false">1+D14*INDEX(Assumptions!$B$16:$D$16,$C14)</f>
        <v>1</v>
      </c>
      <c r="O14" s="1" t="n">
        <f aca="false">IF(D14&lt;1,INDEX(Assumptions!$B$17:$D$17,$C14)*J14*N14,0)</f>
        <v>72.9708</v>
      </c>
      <c r="P14" s="1" t="n">
        <f aca="false">(J14+K14+L14)*N14+O14+M14</f>
        <v>8497.3868</v>
      </c>
      <c r="Q14" s="1" t="n">
        <f aca="false">P14/INDEX(Assumptions!$B$4:$D$4,$C14)</f>
        <v>169.947736</v>
      </c>
    </row>
    <row r="15" customFormat="false" ht="15" hidden="false" customHeight="false" outlineLevel="0" collapsed="false">
      <c r="A15" s="1" t="s">
        <v>140</v>
      </c>
      <c r="B15" s="1" t="s">
        <v>3</v>
      </c>
      <c r="C15" s="1" t="n">
        <v>2</v>
      </c>
      <c r="D15" s="1" t="n">
        <v>0.5</v>
      </c>
      <c r="E15" s="1" t="n">
        <f aca="false">INDEX(Assumptions!$B$7:$D$7,$C15)*INDEX(Assumptions!$B$9:$D$9,$C15)/INDEX(Assumptions!$B$10:$D$10,$C15)</f>
        <v>0.0666666666666667</v>
      </c>
      <c r="F15" s="1" t="n">
        <f aca="false">1+INDEX(Assumptions!$B$11:$D$11,$C15)</f>
        <v>3</v>
      </c>
      <c r="G15" s="1" t="n">
        <f aca="false">CEILING(MAX(E15/F15,8),8)</f>
        <v>8</v>
      </c>
      <c r="H15" s="1" t="n">
        <f aca="false">INDEX(Assumptions!$B$4:$D$4,$C15)*INDEX(Assumptions!$B$5:$D$5,$C15)*INDEX(Assumptions!$B$12:$D$12,$C15)</f>
        <v>13750</v>
      </c>
      <c r="I15" s="1" t="n">
        <v>1</v>
      </c>
      <c r="J15" s="1" t="n">
        <f aca="false">G15*((Prices!$D$16+INDEX(Assumptions!$B$24:$D$24,$C15)*Prices!$D$18)+INDEX(Assumptions!$B$11:$D$11,$C15)*(Prices!$D$17+INDEX(Assumptions!$B$24:$D$24,$C15)*Prices!$D$19))*INDEX(Assumptions!$B$8:$D$8,$C15)</f>
        <v>1945.888</v>
      </c>
      <c r="K15" s="1" t="n">
        <f aca="false">H15*Prices!$D$20*(2+INDEX(Assumptions!$B$11:$D$11,$C15))</f>
        <v>9350</v>
      </c>
      <c r="L15" s="1" t="n">
        <f aca="false">H15*INDEX(Assumptions!$B$15:$D$15,$C15)*Prices!$D$21</f>
        <v>1100</v>
      </c>
      <c r="M15" s="1" t="n">
        <f aca="false">INDEX(Assumptions!$B$18:$D$18,$C15)*Prices!$D$26+IF(D15&lt;1,INDEX(Assumptions!$B$19:$D$19,$C15)*Prices!$D$27,0)</f>
        <v>190</v>
      </c>
      <c r="N15" s="1" t="n">
        <f aca="false">1+D15*INDEX(Assumptions!$B$16:$D$16,$C15)</f>
        <v>1.04</v>
      </c>
      <c r="O15" s="1" t="n">
        <f aca="false">IF(D15&lt;1,INDEX(Assumptions!$B$17:$D$17,$C15)*J15*N15,0)</f>
        <v>202.372352</v>
      </c>
      <c r="P15" s="1" t="n">
        <f aca="false">(J15+K15+L15)*N15+O15+M15</f>
        <v>13284.095872</v>
      </c>
      <c r="Q15" s="1" t="n">
        <f aca="false">P15/INDEX(Assumptions!$B$4:$D$4,$C15)</f>
        <v>265.68191744</v>
      </c>
    </row>
    <row r="16" customFormat="false" ht="15" hidden="false" customHeight="false" outlineLevel="0" collapsed="false">
      <c r="A16" s="1" t="s">
        <v>140</v>
      </c>
      <c r="B16" s="1" t="s">
        <v>4</v>
      </c>
      <c r="C16" s="1" t="n">
        <v>3</v>
      </c>
      <c r="D16" s="1" t="n">
        <v>0.5</v>
      </c>
      <c r="E16" s="1" t="n">
        <f aca="false">INDEX(Assumptions!$B$7:$D$7,$C16)*INDEX(Assumptions!$B$9:$D$9,$C16)/INDEX(Assumptions!$B$10:$D$10,$C16)</f>
        <v>0.16</v>
      </c>
      <c r="F16" s="1" t="n">
        <f aca="false">1+INDEX(Assumptions!$B$11:$D$11,$C16)</f>
        <v>4</v>
      </c>
      <c r="G16" s="1" t="n">
        <f aca="false">CEILING(MAX(E16/F16,8),8)</f>
        <v>8</v>
      </c>
      <c r="H16" s="1" t="n">
        <f aca="false">INDEX(Assumptions!$B$4:$D$4,$C16)*INDEX(Assumptions!$B$5:$D$5,$C16)*INDEX(Assumptions!$B$12:$D$12,$C16)</f>
        <v>15000</v>
      </c>
      <c r="I16" s="1" t="n">
        <v>1</v>
      </c>
      <c r="J16" s="1" t="n">
        <f aca="false">G16*((Prices!$D$16+INDEX(Assumptions!$B$24:$D$24,$C16)*Prices!$D$18)+INDEX(Assumptions!$B$11:$D$11,$C16)*(Prices!$D$17+INDEX(Assumptions!$B$24:$D$24,$C16)*Prices!$D$19))*INDEX(Assumptions!$B$8:$D$8,$C16)</f>
        <v>2432.36</v>
      </c>
      <c r="K16" s="1" t="n">
        <f aca="false">H16*Prices!$D$20*(2+INDEX(Assumptions!$B$11:$D$11,$C16))</f>
        <v>12750</v>
      </c>
      <c r="L16" s="1" t="n">
        <f aca="false">H16*INDEX(Assumptions!$B$15:$D$15,$C16)*Prices!$D$21</f>
        <v>1800</v>
      </c>
      <c r="M16" s="1" t="n">
        <f aca="false">INDEX(Assumptions!$B$18:$D$18,$C16)*Prices!$D$26+IF(D16&lt;1,INDEX(Assumptions!$B$19:$D$19,$C16)*Prices!$D$27,0)</f>
        <v>490</v>
      </c>
      <c r="N16" s="1" t="n">
        <f aca="false">1+D16*INDEX(Assumptions!$B$16:$D$16,$C16)</f>
        <v>1.075</v>
      </c>
      <c r="O16" s="1" t="n">
        <f aca="false">IF(D16&lt;1,INDEX(Assumptions!$B$17:$D$17,$C16)*J16*N16,0)</f>
        <v>392.21805</v>
      </c>
      <c r="P16" s="1" t="n">
        <f aca="false">(J16+K16+L16)*N16+O16+M16</f>
        <v>19138.25505</v>
      </c>
      <c r="Q16" s="1" t="n">
        <f aca="false">P16/INDEX(Assumptions!$B$4:$D$4,$C16)</f>
        <v>382.765101</v>
      </c>
    </row>
    <row r="17" customFormat="false" ht="15" hidden="false" customHeight="false" outlineLevel="0" collapsed="false">
      <c r="A17" s="1" t="s">
        <v>140</v>
      </c>
      <c r="B17" s="1" t="s">
        <v>138</v>
      </c>
      <c r="C17" s="1" t="n">
        <v>2</v>
      </c>
      <c r="D17" s="1" t="n">
        <v>0.2</v>
      </c>
      <c r="E17" s="1" t="n">
        <f aca="false">INDEX(Assumptions!$B$7:$D$7,$C17)*INDEX(Assumptions!$B$9:$D$9,$C17)/INDEX(Assumptions!$B$10:$D$10,$C17)</f>
        <v>0.0666666666666667</v>
      </c>
      <c r="F17" s="1" t="n">
        <f aca="false">1+INDEX(Assumptions!$B$11:$D$11,$C17)</f>
        <v>3</v>
      </c>
      <c r="G17" s="1" t="n">
        <f aca="false">CEILING(MAX(E17/F17,8),8)</f>
        <v>8</v>
      </c>
      <c r="H17" s="1" t="n">
        <f aca="false">INDEX(Assumptions!$B$4:$D$4,$C17)*INDEX(Assumptions!$B$5:$D$5,$C17)*INDEX(Assumptions!$B$12:$D$12,$C17)</f>
        <v>13750</v>
      </c>
      <c r="I17" s="1" t="n">
        <v>1</v>
      </c>
      <c r="J17" s="1" t="n">
        <f aca="false">G17*((Prices!$D$16+INDEX(Assumptions!$B$24:$D$24,$C17)*Prices!$D$18)+INDEX(Assumptions!$B$11:$D$11,$C17)*(Prices!$D$17+INDEX(Assumptions!$B$24:$D$24,$C17)*Prices!$D$19))*INDEX(Assumptions!$B$8:$D$8,$C17)</f>
        <v>1945.888</v>
      </c>
      <c r="K17" s="1" t="n">
        <f aca="false">H17*Prices!$D$20*(2+INDEX(Assumptions!$B$11:$D$11,$C17))</f>
        <v>9350</v>
      </c>
      <c r="L17" s="1" t="n">
        <f aca="false">H17*INDEX(Assumptions!$B$15:$D$15,$C17)*Prices!$D$21</f>
        <v>1100</v>
      </c>
      <c r="M17" s="1" t="n">
        <f aca="false">INDEX(Assumptions!$B$18:$D$18,$C17)*Prices!$D$26+IF(D17&lt;1,INDEX(Assumptions!$B$19:$D$19,$C17)*Prices!$D$27,0)</f>
        <v>190</v>
      </c>
      <c r="N17" s="1" t="n">
        <f aca="false">1+D17*INDEX(Assumptions!$B$16:$D$16,$C17)</f>
        <v>1.016</v>
      </c>
      <c r="O17" s="1" t="n">
        <f aca="false">IF(D17&lt;1,INDEX(Assumptions!$B$17:$D$17,$C17)*J17*N17,0)</f>
        <v>197.7022208</v>
      </c>
      <c r="P17" s="1" t="n">
        <f aca="false">(J17+K17+L17)*N17+O17+M17</f>
        <v>12981.9244288</v>
      </c>
      <c r="Q17" s="1" t="n">
        <f aca="false">P17/INDEX(Assumptions!$B$4:$D$4,$C17)</f>
        <v>259.638488576</v>
      </c>
    </row>
    <row r="18" customFormat="false" ht="15" hidden="false" customHeight="false" outlineLevel="0" collapsed="false">
      <c r="A18" s="1" t="s">
        <v>140</v>
      </c>
      <c r="B18" s="1" t="s">
        <v>139</v>
      </c>
      <c r="C18" s="1" t="n">
        <v>2</v>
      </c>
      <c r="D18" s="1" t="n">
        <v>1</v>
      </c>
      <c r="E18" s="1" t="n">
        <f aca="false">INDEX(Assumptions!$B$7:$D$7,$C18)*INDEX(Assumptions!$B$9:$D$9,$C18)/INDEX(Assumptions!$B$10:$D$10,$C18)</f>
        <v>0.0666666666666667</v>
      </c>
      <c r="F18" s="1" t="n">
        <f aca="false">1+INDEX(Assumptions!$B$11:$D$11,$C18)</f>
        <v>3</v>
      </c>
      <c r="G18" s="1" t="n">
        <f aca="false">CEILING(MAX(E18/F18,8),8)</f>
        <v>8</v>
      </c>
      <c r="H18" s="1" t="n">
        <f aca="false">INDEX(Assumptions!$B$4:$D$4,$C18)*INDEX(Assumptions!$B$5:$D$5,$C18)*INDEX(Assumptions!$B$12:$D$12,$C18)</f>
        <v>13750</v>
      </c>
      <c r="I18" s="1" t="n">
        <v>1</v>
      </c>
      <c r="J18" s="1" t="n">
        <f aca="false">G18*((Prices!$D$16+INDEX(Assumptions!$B$24:$D$24,$C18)*Prices!$D$18)+INDEX(Assumptions!$B$11:$D$11,$C18)*(Prices!$D$17+INDEX(Assumptions!$B$24:$D$24,$C18)*Prices!$D$19))*INDEX(Assumptions!$B$8:$D$8,$C18)</f>
        <v>1945.888</v>
      </c>
      <c r="K18" s="1" t="n">
        <f aca="false">H18*Prices!$D$20*(2+INDEX(Assumptions!$B$11:$D$11,$C18))</f>
        <v>9350</v>
      </c>
      <c r="L18" s="1" t="n">
        <f aca="false">H18*INDEX(Assumptions!$B$15:$D$15,$C18)*Prices!$D$21</f>
        <v>1100</v>
      </c>
      <c r="M18" s="1" t="n">
        <f aca="false">INDEX(Assumptions!$B$18:$D$18,$C18)*Prices!$D$26+IF(D18&lt;1,INDEX(Assumptions!$B$19:$D$19,$C18)*Prices!$D$27,0)</f>
        <v>180</v>
      </c>
      <c r="N18" s="1" t="n">
        <f aca="false">1+D18*INDEX(Assumptions!$B$16:$D$16,$C18)</f>
        <v>1.08</v>
      </c>
      <c r="O18" s="1" t="n">
        <f aca="false">IF(D18&lt;1,INDEX(Assumptions!$B$17:$D$17,$C18)*J18*N18,0)</f>
        <v>0</v>
      </c>
      <c r="P18" s="1" t="n">
        <f aca="false">(J18+K18+L18)*N18+O18+M18</f>
        <v>13567.55904</v>
      </c>
      <c r="Q18" s="1" t="n">
        <f aca="false">P18/INDEX(Assumptions!$B$4:$D$4,$C18)</f>
        <v>271.3511808</v>
      </c>
    </row>
    <row r="19" customFormat="false" ht="15" hidden="false" customHeight="false" outlineLevel="0" collapsed="false">
      <c r="A19" s="1" t="s">
        <v>104</v>
      </c>
      <c r="B19" s="1" t="s">
        <v>2</v>
      </c>
      <c r="C19" s="1" t="n">
        <v>1</v>
      </c>
      <c r="D19" s="1" t="n">
        <v>0.5</v>
      </c>
      <c r="E19" s="1" t="n">
        <f aca="false">INDEX(Assumptions!$B$7:$D$7,$C19)*INDEX(Assumptions!$B$9:$D$9,$C19)/INDEX(Assumptions!$B$10:$D$10,$C19)</f>
        <v>0.0333333333333333</v>
      </c>
      <c r="F19" s="1" t="n">
        <f aca="false">1+INDEX(Assumptions!$B$11:$D$11,$C19)</f>
        <v>2</v>
      </c>
      <c r="G19" s="1" t="n">
        <f aca="false">CEILING(MAX(E19/F19,8),8)</f>
        <v>8</v>
      </c>
      <c r="H19" s="1" t="n">
        <f aca="false">INDEX(Assumptions!$B$4:$D$4,$C19)*INDEX(Assumptions!$B$5:$D$5,$C19)*INDEX(Assumptions!$B$12:$D$12,$C19)</f>
        <v>12500</v>
      </c>
      <c r="I19" s="1" t="n">
        <v>1</v>
      </c>
      <c r="J19" s="1" t="n">
        <f aca="false">G19*(2+INDEX(Assumptions!$B$11:$D$11,$C19))*(Prices!$D$22+INDEX(Assumptions!$B$25:$D$25,$C19)*Prices!$D$23)*INDEX(Assumptions!$B$8:$D$8,$C19)</f>
        <v>2726.112</v>
      </c>
      <c r="K19" s="1" t="n">
        <f aca="false">H19*Prices!$D$24</f>
        <v>3749.4625</v>
      </c>
      <c r="L19" s="1" t="n">
        <f aca="false">H19*INDEX(Assumptions!$B$15:$D$15,$C19)*Prices!$D$25</f>
        <v>625.0625</v>
      </c>
      <c r="M19" s="1" t="n">
        <f aca="false">INDEX(Assumptions!$B$18:$D$18,$C19)*Prices!$D$26+IF(D19&lt;1,INDEX(Assumptions!$B$19:$D$19,$C19)*Prices!$D$27,0)</f>
        <v>90</v>
      </c>
      <c r="N19" s="1" t="n">
        <f aca="false">1+D19*INDEX(Assumptions!$B$16:$D$16,$C19)</f>
        <v>1</v>
      </c>
      <c r="O19" s="1" t="n">
        <f aca="false">IF(D19&lt;1,INDEX(Assumptions!$B$17:$D$17,$C19)*J19*N19,0)</f>
        <v>136.3056</v>
      </c>
      <c r="P19" s="1" t="n">
        <f aca="false">(J19+K19+L19)*N19+O19+M19</f>
        <v>7326.9426</v>
      </c>
      <c r="Q19" s="1" t="n">
        <f aca="false">P19/INDEX(Assumptions!$B$4:$D$4,$C19)</f>
        <v>146.538852</v>
      </c>
    </row>
    <row r="20" customFormat="false" ht="15" hidden="false" customHeight="false" outlineLevel="0" collapsed="false">
      <c r="A20" s="1" t="s">
        <v>104</v>
      </c>
      <c r="B20" s="1" t="s">
        <v>3</v>
      </c>
      <c r="C20" s="1" t="n">
        <v>2</v>
      </c>
      <c r="D20" s="1" t="n">
        <v>0.5</v>
      </c>
      <c r="E20" s="1" t="n">
        <f aca="false">INDEX(Assumptions!$B$7:$D$7,$C20)*INDEX(Assumptions!$B$9:$D$9,$C20)/INDEX(Assumptions!$B$10:$D$10,$C20)</f>
        <v>0.0666666666666667</v>
      </c>
      <c r="F20" s="1" t="n">
        <f aca="false">1+INDEX(Assumptions!$B$11:$D$11,$C20)</f>
        <v>3</v>
      </c>
      <c r="G20" s="1" t="n">
        <f aca="false">CEILING(MAX(E20/F20,8),8)</f>
        <v>8</v>
      </c>
      <c r="H20" s="1" t="n">
        <f aca="false">INDEX(Assumptions!$B$4:$D$4,$C20)*INDEX(Assumptions!$B$5:$D$5,$C20)*INDEX(Assumptions!$B$12:$D$12,$C20)</f>
        <v>13750</v>
      </c>
      <c r="I20" s="1" t="n">
        <v>1</v>
      </c>
      <c r="J20" s="1" t="n">
        <f aca="false">G20*(2+INDEX(Assumptions!$B$11:$D$11,$C20))*(Prices!$D$22+INDEX(Assumptions!$B$25:$D$25,$C20)*Prices!$D$23)*INDEX(Assumptions!$B$8:$D$8,$C20)</f>
        <v>3634.816</v>
      </c>
      <c r="K20" s="1" t="n">
        <f aca="false">H20*Prices!$D$24</f>
        <v>4124.40875</v>
      </c>
      <c r="L20" s="1" t="n">
        <f aca="false">H20*INDEX(Assumptions!$B$15:$D$15,$C20)*Prices!$D$25</f>
        <v>1375.1375</v>
      </c>
      <c r="M20" s="1" t="n">
        <f aca="false">INDEX(Assumptions!$B$18:$D$18,$C20)*Prices!$D$26+IF(D20&lt;1,INDEX(Assumptions!$B$19:$D$19,$C20)*Prices!$D$27,0)</f>
        <v>190</v>
      </c>
      <c r="N20" s="1" t="n">
        <f aca="false">1+D20*INDEX(Assumptions!$B$16:$D$16,$C20)</f>
        <v>1.04</v>
      </c>
      <c r="O20" s="1" t="n">
        <f aca="false">IF(D20&lt;1,INDEX(Assumptions!$B$17:$D$17,$C20)*J20*N20,0)</f>
        <v>378.020864</v>
      </c>
      <c r="P20" s="1" t="n">
        <f aca="false">(J20+K20+L20)*N20+O20+M20</f>
        <v>10067.757604</v>
      </c>
      <c r="Q20" s="1" t="n">
        <f aca="false">P20/INDEX(Assumptions!$B$4:$D$4,$C20)</f>
        <v>201.35515208</v>
      </c>
    </row>
    <row r="21" customFormat="false" ht="15" hidden="false" customHeight="false" outlineLevel="0" collapsed="false">
      <c r="A21" s="1" t="s">
        <v>104</v>
      </c>
      <c r="B21" s="1" t="s">
        <v>4</v>
      </c>
      <c r="C21" s="1" t="n">
        <v>3</v>
      </c>
      <c r="D21" s="1" t="n">
        <v>0.5</v>
      </c>
      <c r="E21" s="1" t="n">
        <f aca="false">INDEX(Assumptions!$B$7:$D$7,$C21)*INDEX(Assumptions!$B$9:$D$9,$C21)/INDEX(Assumptions!$B$10:$D$10,$C21)</f>
        <v>0.16</v>
      </c>
      <c r="F21" s="1" t="n">
        <f aca="false">1+INDEX(Assumptions!$B$11:$D$11,$C21)</f>
        <v>4</v>
      </c>
      <c r="G21" s="1" t="n">
        <f aca="false">CEILING(MAX(E21/F21,8),8)</f>
        <v>8</v>
      </c>
      <c r="H21" s="1" t="n">
        <f aca="false">INDEX(Assumptions!$B$4:$D$4,$C21)*INDEX(Assumptions!$B$5:$D$5,$C21)*INDEX(Assumptions!$B$12:$D$12,$C21)</f>
        <v>15000</v>
      </c>
      <c r="I21" s="1" t="n">
        <v>1</v>
      </c>
      <c r="J21" s="1" t="n">
        <f aca="false">G21*(2+INDEX(Assumptions!$B$11:$D$11,$C21))*(Prices!$D$22+INDEX(Assumptions!$B$25:$D$25,$C21)*Prices!$D$23)*INDEX(Assumptions!$B$8:$D$8,$C21)</f>
        <v>4543.52</v>
      </c>
      <c r="K21" s="1" t="n">
        <f aca="false">H21*Prices!$D$24</f>
        <v>4499.355</v>
      </c>
      <c r="L21" s="1" t="n">
        <f aca="false">H21*INDEX(Assumptions!$B$15:$D$15,$C21)*Prices!$D$25</f>
        <v>2250.225</v>
      </c>
      <c r="M21" s="1" t="n">
        <f aca="false">INDEX(Assumptions!$B$18:$D$18,$C21)*Prices!$D$26+IF(D21&lt;1,INDEX(Assumptions!$B$19:$D$19,$C21)*Prices!$D$27,0)</f>
        <v>490</v>
      </c>
      <c r="N21" s="1" t="n">
        <f aca="false">1+D21*INDEX(Assumptions!$B$16:$D$16,$C21)</f>
        <v>1.075</v>
      </c>
      <c r="O21" s="1" t="n">
        <f aca="false">IF(D21&lt;1,INDEX(Assumptions!$B$17:$D$17,$C21)*J21*N21,0)</f>
        <v>732.6426</v>
      </c>
      <c r="P21" s="1" t="n">
        <f aca="false">(J21+K21+L21)*N21+O21+M21</f>
        <v>13362.7251</v>
      </c>
      <c r="Q21" s="1" t="n">
        <f aca="false">P21/INDEX(Assumptions!$B$4:$D$4,$C21)</f>
        <v>267.254502</v>
      </c>
    </row>
    <row r="22" customFormat="false" ht="15" hidden="false" customHeight="false" outlineLevel="0" collapsed="false">
      <c r="A22" s="1" t="s">
        <v>104</v>
      </c>
      <c r="B22" s="1" t="s">
        <v>138</v>
      </c>
      <c r="C22" s="1" t="n">
        <v>2</v>
      </c>
      <c r="D22" s="1" t="n">
        <v>0.2</v>
      </c>
      <c r="E22" s="1" t="n">
        <f aca="false">INDEX(Assumptions!$B$7:$D$7,$C22)*INDEX(Assumptions!$B$9:$D$9,$C22)/INDEX(Assumptions!$B$10:$D$10,$C22)</f>
        <v>0.0666666666666667</v>
      </c>
      <c r="F22" s="1" t="n">
        <f aca="false">1+INDEX(Assumptions!$B$11:$D$11,$C22)</f>
        <v>3</v>
      </c>
      <c r="G22" s="1" t="n">
        <f aca="false">CEILING(MAX(E22/F22,8),8)</f>
        <v>8</v>
      </c>
      <c r="H22" s="1" t="n">
        <f aca="false">INDEX(Assumptions!$B$4:$D$4,$C22)*INDEX(Assumptions!$B$5:$D$5,$C22)*INDEX(Assumptions!$B$12:$D$12,$C22)</f>
        <v>13750</v>
      </c>
      <c r="I22" s="1" t="n">
        <v>1</v>
      </c>
      <c r="J22" s="1" t="n">
        <f aca="false">G22*(2+INDEX(Assumptions!$B$11:$D$11,$C22))*(Prices!$D$22+INDEX(Assumptions!$B$25:$D$25,$C22)*Prices!$D$23)*INDEX(Assumptions!$B$8:$D$8,$C22)</f>
        <v>3634.816</v>
      </c>
      <c r="K22" s="1" t="n">
        <f aca="false">H22*Prices!$D$24</f>
        <v>4124.40875</v>
      </c>
      <c r="L22" s="1" t="n">
        <f aca="false">H22*INDEX(Assumptions!$B$15:$D$15,$C22)*Prices!$D$25</f>
        <v>1375.1375</v>
      </c>
      <c r="M22" s="1" t="n">
        <f aca="false">INDEX(Assumptions!$B$18:$D$18,$C22)*Prices!$D$26+IF(D22&lt;1,INDEX(Assumptions!$B$19:$D$19,$C22)*Prices!$D$27,0)</f>
        <v>190</v>
      </c>
      <c r="N22" s="1" t="n">
        <f aca="false">1+D22*INDEX(Assumptions!$B$16:$D$16,$C22)</f>
        <v>1.016</v>
      </c>
      <c r="O22" s="1" t="n">
        <f aca="false">IF(D22&lt;1,INDEX(Assumptions!$B$17:$D$17,$C22)*J22*N22,0)</f>
        <v>369.2973056</v>
      </c>
      <c r="P22" s="1" t="n">
        <f aca="false">(J22+K22+L22)*N22+O22+M22</f>
        <v>9839.8093516</v>
      </c>
      <c r="Q22" s="1" t="n">
        <f aca="false">P22/INDEX(Assumptions!$B$4:$D$4,$C22)</f>
        <v>196.796187032</v>
      </c>
    </row>
    <row r="23" customFormat="false" ht="15" hidden="false" customHeight="false" outlineLevel="0" collapsed="false">
      <c r="A23" s="1" t="s">
        <v>104</v>
      </c>
      <c r="B23" s="1" t="s">
        <v>139</v>
      </c>
      <c r="C23" s="1" t="n">
        <v>2</v>
      </c>
      <c r="D23" s="1" t="n">
        <v>1</v>
      </c>
      <c r="E23" s="1" t="n">
        <f aca="false">INDEX(Assumptions!$B$7:$D$7,$C23)*INDEX(Assumptions!$B$9:$D$9,$C23)/INDEX(Assumptions!$B$10:$D$10,$C23)</f>
        <v>0.0666666666666667</v>
      </c>
      <c r="F23" s="1" t="n">
        <f aca="false">1+INDEX(Assumptions!$B$11:$D$11,$C23)</f>
        <v>3</v>
      </c>
      <c r="G23" s="1" t="n">
        <f aca="false">CEILING(MAX(E23/F23,8),8)</f>
        <v>8</v>
      </c>
      <c r="H23" s="1" t="n">
        <f aca="false">INDEX(Assumptions!$B$4:$D$4,$C23)*INDEX(Assumptions!$B$5:$D$5,$C23)*INDEX(Assumptions!$B$12:$D$12,$C23)</f>
        <v>13750</v>
      </c>
      <c r="I23" s="1" t="n">
        <v>1</v>
      </c>
      <c r="J23" s="1" t="n">
        <f aca="false">G23*(2+INDEX(Assumptions!$B$11:$D$11,$C23))*(Prices!$D$22+INDEX(Assumptions!$B$25:$D$25,$C23)*Prices!$D$23)*INDEX(Assumptions!$B$8:$D$8,$C23)</f>
        <v>3634.816</v>
      </c>
      <c r="K23" s="1" t="n">
        <f aca="false">H23*Prices!$D$24</f>
        <v>4124.40875</v>
      </c>
      <c r="L23" s="1" t="n">
        <f aca="false">H23*INDEX(Assumptions!$B$15:$D$15,$C23)*Prices!$D$25</f>
        <v>1375.1375</v>
      </c>
      <c r="M23" s="1" t="n">
        <f aca="false">INDEX(Assumptions!$B$18:$D$18,$C23)*Prices!$D$26+IF(D23&lt;1,INDEX(Assumptions!$B$19:$D$19,$C23)*Prices!$D$27,0)</f>
        <v>180</v>
      </c>
      <c r="N23" s="1" t="n">
        <f aca="false">1+D23*INDEX(Assumptions!$B$16:$D$16,$C23)</f>
        <v>1.08</v>
      </c>
      <c r="O23" s="1" t="n">
        <f aca="false">IF(D23&lt;1,INDEX(Assumptions!$B$17:$D$17,$C23)*J23*N23,0)</f>
        <v>0</v>
      </c>
      <c r="P23" s="1" t="n">
        <f aca="false">(J23+K23+L23)*N23+O23+M23</f>
        <v>10045.11123</v>
      </c>
      <c r="Q23" s="1" t="n">
        <f aca="false">P23/INDEX(Assumptions!$B$4:$D$4,$C23)</f>
        <v>200.9022246</v>
      </c>
    </row>
    <row r="24" customFormat="false" ht="15" hidden="false" customHeight="false" outlineLevel="0" collapsed="false">
      <c r="A24" s="1" t="s">
        <v>141</v>
      </c>
      <c r="B24" s="1" t="s">
        <v>2</v>
      </c>
      <c r="C24" s="1" t="n">
        <v>1</v>
      </c>
      <c r="D24" s="1" t="n">
        <v>0.5</v>
      </c>
      <c r="E24" s="1" t="n">
        <f aca="false">INDEX(Assumptions!$B$7:$D$7,$C24)*INDEX(Assumptions!$B$9:$D$9,$C24)/INDEX(Assumptions!$B$10:$D$10,$C24)</f>
        <v>0.0333333333333333</v>
      </c>
      <c r="F24" s="1" t="n">
        <f aca="false">I24*3</f>
        <v>6</v>
      </c>
      <c r="G24" s="1" t="n">
        <f aca="false">CEILING(MAX(E24/F24,8),8)</f>
        <v>8</v>
      </c>
      <c r="H24" s="1" t="n">
        <f aca="false">INDEX(Assumptions!$B$4:$D$4,$C24)*INDEX(Assumptions!$B$5:$D$5,$C24)*INDEX(Assumptions!$B$13:$D$13,$C24)*(1+INDEX(Assumptions!$B$14:$D$14,$C24))</f>
        <v>5500</v>
      </c>
      <c r="I24" s="1" t="n">
        <f aca="false">ROUNDUP(H24/(Prices!$D$7*INDEX(Assumptions!$B$20:$D$20,$C24)),0)</f>
        <v>2</v>
      </c>
      <c r="J24" s="1" t="n">
        <f aca="false">F24*IF(G24&lt;=8,Prices!$D$4,IF(G24&lt;=16,Prices!$D$5,Prices!$D$6))*INDEX(Assumptions!$B$8:$D$8,$C24)*(1+INDEX(Assumptions!$B$21:$D$21,$C24))</f>
        <v>9636</v>
      </c>
      <c r="K24" s="1" t="n">
        <f aca="false">H24*3*INDEX(Assumptions!$B$23:$D$23,$C24)</f>
        <v>0</v>
      </c>
      <c r="L24" s="1" t="n">
        <f aca="false">H24*INDEX(Assumptions!$B$15:$D$15,$C24)*Prices!$D$8</f>
        <v>132</v>
      </c>
      <c r="M24" s="1" t="n">
        <f aca="false">INDEX(Assumptions!$B$18:$D$18,$C24)*Prices!$D$26+IF(D24&lt;1,INDEX(Assumptions!$B$19:$D$19,$C24)*Prices!$D$27,0)</f>
        <v>90</v>
      </c>
      <c r="N24" s="1" t="n">
        <f aca="false">1+D24*INDEX(Assumptions!$B$16:$D$16,$C24)</f>
        <v>1</v>
      </c>
      <c r="O24" s="1" t="n">
        <f aca="false">IF(D24&lt;1,INDEX(Assumptions!$B$17:$D$17,$C24)*J24*N24,0)</f>
        <v>481.8</v>
      </c>
      <c r="P24" s="1" t="n">
        <f aca="false">(J24+K24+L24)*N24+O24+M24</f>
        <v>10339.8</v>
      </c>
      <c r="Q24" s="1" t="n">
        <f aca="false">P24/INDEX(Assumptions!$B$4:$D$4,$C24)</f>
        <v>206.796</v>
      </c>
    </row>
    <row r="25" customFormat="false" ht="15" hidden="false" customHeight="false" outlineLevel="0" collapsed="false">
      <c r="A25" s="1" t="s">
        <v>141</v>
      </c>
      <c r="B25" s="1" t="s">
        <v>3</v>
      </c>
      <c r="C25" s="1" t="n">
        <v>2</v>
      </c>
      <c r="D25" s="1" t="n">
        <v>0.5</v>
      </c>
      <c r="E25" s="1" t="n">
        <f aca="false">INDEX(Assumptions!$B$7:$D$7,$C25)*INDEX(Assumptions!$B$9:$D$9,$C25)/INDEX(Assumptions!$B$10:$D$10,$C25)</f>
        <v>0.0666666666666667</v>
      </c>
      <c r="F25" s="1" t="n">
        <f aca="false">I25*3</f>
        <v>9</v>
      </c>
      <c r="G25" s="1" t="n">
        <f aca="false">CEILING(MAX(E25/F25,8),8)</f>
        <v>8</v>
      </c>
      <c r="H25" s="1" t="n">
        <f aca="false">INDEX(Assumptions!$B$4:$D$4,$C25)*INDEX(Assumptions!$B$5:$D$5,$C25)*INDEX(Assumptions!$B$13:$D$13,$C25)*(1+INDEX(Assumptions!$B$14:$D$14,$C25))</f>
        <v>8625</v>
      </c>
      <c r="I25" s="1" t="n">
        <f aca="false">ROUNDUP(H25/(Prices!$D$7*INDEX(Assumptions!$B$20:$D$20,$C25)),0)</f>
        <v>3</v>
      </c>
      <c r="J25" s="1" t="n">
        <f aca="false">F25*IF(G25&lt;=8,Prices!$D$4,IF(G25&lt;=16,Prices!$D$5,Prices!$D$6))*INDEX(Assumptions!$B$8:$D$8,$C25)*(1+INDEX(Assumptions!$B$21:$D$21,$C25))</f>
        <v>14454</v>
      </c>
      <c r="K25" s="1" t="n">
        <f aca="false">H25*3*INDEX(Assumptions!$B$23:$D$23,$C25)</f>
        <v>0</v>
      </c>
      <c r="L25" s="1" t="n">
        <f aca="false">H25*INDEX(Assumptions!$B$15:$D$15,$C25)*Prices!$D$8</f>
        <v>414</v>
      </c>
      <c r="M25" s="1" t="n">
        <f aca="false">INDEX(Assumptions!$B$18:$D$18,$C25)*Prices!$D$26+IF(D25&lt;1,INDEX(Assumptions!$B$19:$D$19,$C25)*Prices!$D$27,0)</f>
        <v>190</v>
      </c>
      <c r="N25" s="1" t="n">
        <f aca="false">1+D25*INDEX(Assumptions!$B$16:$D$16,$C25)</f>
        <v>1.04</v>
      </c>
      <c r="O25" s="1" t="n">
        <f aca="false">IF(D25&lt;1,INDEX(Assumptions!$B$17:$D$17,$C25)*J25*N25,0)</f>
        <v>1503.216</v>
      </c>
      <c r="P25" s="1" t="n">
        <f aca="false">(J25+K25+L25)*N25+O25+M25</f>
        <v>17155.936</v>
      </c>
      <c r="Q25" s="1" t="n">
        <f aca="false">P25/INDEX(Assumptions!$B$4:$D$4,$C25)</f>
        <v>343.11872</v>
      </c>
    </row>
    <row r="26" customFormat="false" ht="15" hidden="false" customHeight="false" outlineLevel="0" collapsed="false">
      <c r="A26" s="1" t="s">
        <v>141</v>
      </c>
      <c r="B26" s="1" t="s">
        <v>4</v>
      </c>
      <c r="C26" s="1" t="n">
        <v>3</v>
      </c>
      <c r="D26" s="1" t="n">
        <v>0.5</v>
      </c>
      <c r="E26" s="1" t="n">
        <f aca="false">INDEX(Assumptions!$B$7:$D$7,$C26)*INDEX(Assumptions!$B$9:$D$9,$C26)/INDEX(Assumptions!$B$10:$D$10,$C26)</f>
        <v>0.16</v>
      </c>
      <c r="F26" s="1" t="n">
        <f aca="false">I26*3</f>
        <v>12</v>
      </c>
      <c r="G26" s="1" t="n">
        <f aca="false">CEILING(MAX(E26/F26,8),8)</f>
        <v>8</v>
      </c>
      <c r="H26" s="1" t="n">
        <f aca="false">INDEX(Assumptions!$B$4:$D$4,$C26)*INDEX(Assumptions!$B$5:$D$5,$C26)*INDEX(Assumptions!$B$13:$D$13,$C26)*(1+INDEX(Assumptions!$B$14:$D$14,$C26))</f>
        <v>12500</v>
      </c>
      <c r="I26" s="1" t="n">
        <f aca="false">ROUNDUP(H26/(Prices!$D$7*INDEX(Assumptions!$B$20:$D$20,$C26)),0)</f>
        <v>4</v>
      </c>
      <c r="J26" s="1" t="n">
        <f aca="false">F26*IF(G26&lt;=8,Prices!$D$4,IF(G26&lt;=16,Prices!$D$5,Prices!$D$6))*INDEX(Assumptions!$B$8:$D$8,$C26)*(1+INDEX(Assumptions!$B$21:$D$21,$C26))</f>
        <v>19272</v>
      </c>
      <c r="K26" s="1" t="n">
        <f aca="false">H26*3*INDEX(Assumptions!$B$23:$D$23,$C26)</f>
        <v>1125</v>
      </c>
      <c r="L26" s="1" t="n">
        <f aca="false">H26*INDEX(Assumptions!$B$15:$D$15,$C26)*Prices!$D$8</f>
        <v>900</v>
      </c>
      <c r="M26" s="1" t="n">
        <f aca="false">INDEX(Assumptions!$B$18:$D$18,$C26)*Prices!$D$26+IF(D26&lt;1,INDEX(Assumptions!$B$19:$D$19,$C26)*Prices!$D$27,0)</f>
        <v>490</v>
      </c>
      <c r="N26" s="1" t="n">
        <f aca="false">1+D26*INDEX(Assumptions!$B$16:$D$16,$C26)</f>
        <v>1.075</v>
      </c>
      <c r="O26" s="1" t="n">
        <f aca="false">IF(D26&lt;1,INDEX(Assumptions!$B$17:$D$17,$C26)*J26*N26,0)</f>
        <v>3107.61</v>
      </c>
      <c r="P26" s="1" t="n">
        <f aca="false">(J26+K26+L26)*N26+O26+M26</f>
        <v>26491.885</v>
      </c>
      <c r="Q26" s="1" t="n">
        <f aca="false">P26/INDEX(Assumptions!$B$4:$D$4,$C26)</f>
        <v>529.8377</v>
      </c>
    </row>
    <row r="27" customFormat="false" ht="15" hidden="false" customHeight="false" outlineLevel="0" collapsed="false">
      <c r="A27" s="1" t="s">
        <v>141</v>
      </c>
      <c r="B27" s="1" t="s">
        <v>138</v>
      </c>
      <c r="C27" s="1" t="n">
        <v>2</v>
      </c>
      <c r="D27" s="1" t="n">
        <v>0.2</v>
      </c>
      <c r="E27" s="1" t="n">
        <f aca="false">INDEX(Assumptions!$B$7:$D$7,$C27)*INDEX(Assumptions!$B$9:$D$9,$C27)/INDEX(Assumptions!$B$10:$D$10,$C27)</f>
        <v>0.0666666666666667</v>
      </c>
      <c r="F27" s="1" t="n">
        <f aca="false">I27*3</f>
        <v>9</v>
      </c>
      <c r="G27" s="1" t="n">
        <f aca="false">CEILING(MAX(E27/F27,8),8)</f>
        <v>8</v>
      </c>
      <c r="H27" s="1" t="n">
        <f aca="false">INDEX(Assumptions!$B$4:$D$4,$C27)*INDEX(Assumptions!$B$5:$D$5,$C27)*INDEX(Assumptions!$B$13:$D$13,$C27)*(1+INDEX(Assumptions!$B$14:$D$14,$C27))</f>
        <v>8625</v>
      </c>
      <c r="I27" s="1" t="n">
        <f aca="false">ROUNDUP(H27/(Prices!$D$7*INDEX(Assumptions!$B$20:$D$20,$C27)),0)</f>
        <v>3</v>
      </c>
      <c r="J27" s="1" t="n">
        <f aca="false">F27*IF(G27&lt;=8,Prices!$D$4,IF(G27&lt;=16,Prices!$D$5,Prices!$D$6))*INDEX(Assumptions!$B$8:$D$8,$C27)*(1+INDEX(Assumptions!$B$21:$D$21,$C27))</f>
        <v>14454</v>
      </c>
      <c r="K27" s="1" t="n">
        <f aca="false">H27*3*INDEX(Assumptions!$B$23:$D$23,$C27)</f>
        <v>0</v>
      </c>
      <c r="L27" s="1" t="n">
        <f aca="false">H27*INDEX(Assumptions!$B$15:$D$15,$C27)*Prices!$D$8</f>
        <v>414</v>
      </c>
      <c r="M27" s="1" t="n">
        <f aca="false">INDEX(Assumptions!$B$18:$D$18,$C27)*Prices!$D$26+IF(D27&lt;1,INDEX(Assumptions!$B$19:$D$19,$C27)*Prices!$D$27,0)</f>
        <v>190</v>
      </c>
      <c r="N27" s="1" t="n">
        <f aca="false">1+D27*INDEX(Assumptions!$B$16:$D$16,$C27)</f>
        <v>1.016</v>
      </c>
      <c r="O27" s="1" t="n">
        <f aca="false">IF(D27&lt;1,INDEX(Assumptions!$B$17:$D$17,$C27)*J27*N27,0)</f>
        <v>1468.5264</v>
      </c>
      <c r="P27" s="1" t="n">
        <f aca="false">(J27+K27+L27)*N27+O27+M27</f>
        <v>16764.4144</v>
      </c>
      <c r="Q27" s="1" t="n">
        <f aca="false">P27/INDEX(Assumptions!$B$4:$D$4,$C27)</f>
        <v>335.288288</v>
      </c>
    </row>
    <row r="28" customFormat="false" ht="15" hidden="false" customHeight="false" outlineLevel="0" collapsed="false">
      <c r="A28" s="1" t="s">
        <v>141</v>
      </c>
      <c r="B28" s="1" t="s">
        <v>139</v>
      </c>
      <c r="C28" s="1" t="n">
        <v>2</v>
      </c>
      <c r="D28" s="1" t="n">
        <v>1</v>
      </c>
      <c r="E28" s="1" t="n">
        <f aca="false">INDEX(Assumptions!$B$7:$D$7,$C28)*INDEX(Assumptions!$B$9:$D$9,$C28)/INDEX(Assumptions!$B$10:$D$10,$C28)</f>
        <v>0.0666666666666667</v>
      </c>
      <c r="F28" s="1" t="n">
        <f aca="false">I28*3</f>
        <v>9</v>
      </c>
      <c r="G28" s="1" t="n">
        <f aca="false">CEILING(MAX(E28/F28,8),8)</f>
        <v>8</v>
      </c>
      <c r="H28" s="1" t="n">
        <f aca="false">INDEX(Assumptions!$B$4:$D$4,$C28)*INDEX(Assumptions!$B$5:$D$5,$C28)*INDEX(Assumptions!$B$13:$D$13,$C28)*(1+INDEX(Assumptions!$B$14:$D$14,$C28))</f>
        <v>8625</v>
      </c>
      <c r="I28" s="1" t="n">
        <f aca="false">ROUNDUP(H28/(Prices!$D$7*INDEX(Assumptions!$B$20:$D$20,$C28)),0)</f>
        <v>3</v>
      </c>
      <c r="J28" s="1" t="n">
        <f aca="false">F28*IF(G28&lt;=8,Prices!$D$4,IF(G28&lt;=16,Prices!$D$5,Prices!$D$6))*INDEX(Assumptions!$B$8:$D$8,$C28)*(1+INDEX(Assumptions!$B$21:$D$21,$C28))</f>
        <v>14454</v>
      </c>
      <c r="K28" s="1" t="n">
        <f aca="false">H28*3*INDEX(Assumptions!$B$23:$D$23,$C28)</f>
        <v>0</v>
      </c>
      <c r="L28" s="1" t="n">
        <f aca="false">H28*INDEX(Assumptions!$B$15:$D$15,$C28)*Prices!$D$8</f>
        <v>414</v>
      </c>
      <c r="M28" s="1" t="n">
        <f aca="false">INDEX(Assumptions!$B$18:$D$18,$C28)*Prices!$D$26+IF(D28&lt;1,INDEX(Assumptions!$B$19:$D$19,$C28)*Prices!$D$27,0)</f>
        <v>180</v>
      </c>
      <c r="N28" s="1" t="n">
        <f aca="false">1+D28*INDEX(Assumptions!$B$16:$D$16,$C28)</f>
        <v>1.08</v>
      </c>
      <c r="O28" s="1" t="n">
        <f aca="false">IF(D28&lt;1,INDEX(Assumptions!$B$17:$D$17,$C28)*J28*N28,0)</f>
        <v>0</v>
      </c>
      <c r="P28" s="1" t="n">
        <f aca="false">(J28+K28+L28)*N28+O28+M28</f>
        <v>16237.44</v>
      </c>
      <c r="Q28" s="1" t="n">
        <f aca="false">P28/INDEX(Assumptions!$B$4:$D$4,$C28)</f>
        <v>324.7488</v>
      </c>
    </row>
    <row r="29" customFormat="false" ht="15" hidden="false" customHeight="false" outlineLevel="0" collapsed="false">
      <c r="A29" s="1" t="s">
        <v>142</v>
      </c>
      <c r="B29" s="1" t="s">
        <v>2</v>
      </c>
      <c r="C29" s="1" t="n">
        <v>1</v>
      </c>
      <c r="D29" s="1" t="n">
        <v>0.5</v>
      </c>
      <c r="E29" s="1" t="n">
        <f aca="false">INDEX(Assumptions!$B$7:$D$7,$C29)*INDEX(Assumptions!$B$9:$D$9,$C29)/INDEX(Assumptions!$B$10:$D$10,$C29)</f>
        <v>0.0333333333333333</v>
      </c>
      <c r="F29" s="1" t="n">
        <f aca="false">I29*3</f>
        <v>6</v>
      </c>
      <c r="G29" s="1" t="n">
        <f aca="false">CEILING(MAX(E29/F29,8),8)</f>
        <v>8</v>
      </c>
      <c r="H29" s="1" t="n">
        <f aca="false">INDEX(Assumptions!$B$4:$D$4,$C29)*INDEX(Assumptions!$B$5:$D$5,$C29)*INDEX(Assumptions!$B$13:$D$13,$C29)*(1+INDEX(Assumptions!$B$14:$D$14,$C29))</f>
        <v>5500</v>
      </c>
      <c r="I29" s="1" t="n">
        <f aca="false">ROUNDUP(H29/(Prices!$D$7*INDEX(Assumptions!$B$20:$D$20,$C29)),0)</f>
        <v>2</v>
      </c>
      <c r="J29" s="1" t="n">
        <f aca="false">F29*IF(G29&lt;=8,Prices!$D$4,IF(G29&lt;=16,Prices!$D$5,Prices!$D$6))*INDEX(Assumptions!$B$8:$D$8,$C29)*(1+INDEX(Assumptions!$B$21:$D$21,$C29))*INDEX(Assumptions!$B$22:$D$22,$C29)</f>
        <v>9636</v>
      </c>
      <c r="K29" s="1" t="n">
        <f aca="false">H29*3*INDEX(Assumptions!$B$23:$D$23,$C29)</f>
        <v>0</v>
      </c>
      <c r="L29" s="1" t="n">
        <f aca="false">H29*INDEX(Assumptions!$B$15:$D$15,$C29)*Prices!$D$8</f>
        <v>132</v>
      </c>
      <c r="M29" s="1" t="n">
        <f aca="false">INDEX(Assumptions!$B$18:$D$18,$C29)*Prices!$D$26+IF(D29&lt;1,INDEX(Assumptions!$B$19:$D$19,$C29)*Prices!$D$27,0)</f>
        <v>90</v>
      </c>
      <c r="N29" s="1" t="n">
        <f aca="false">1+D29*INDEX(Assumptions!$B$16:$D$16,$C29)</f>
        <v>1</v>
      </c>
      <c r="O29" s="1" t="n">
        <f aca="false">IF(D29&lt;1,INDEX(Assumptions!$B$17:$D$17,$C29)*J29*N29,0)</f>
        <v>481.8</v>
      </c>
      <c r="P29" s="1" t="n">
        <f aca="false">(J29+K29+L29)*N29+O29+M29</f>
        <v>10339.8</v>
      </c>
      <c r="Q29" s="1" t="n">
        <f aca="false">P29/INDEX(Assumptions!$B$4:$D$4,$C29)</f>
        <v>206.796</v>
      </c>
    </row>
    <row r="30" customFormat="false" ht="15" hidden="false" customHeight="false" outlineLevel="0" collapsed="false">
      <c r="A30" s="1" t="s">
        <v>142</v>
      </c>
      <c r="B30" s="1" t="s">
        <v>3</v>
      </c>
      <c r="C30" s="1" t="n">
        <v>2</v>
      </c>
      <c r="D30" s="1" t="n">
        <v>0.5</v>
      </c>
      <c r="E30" s="1" t="n">
        <f aca="false">INDEX(Assumptions!$B$7:$D$7,$C30)*INDEX(Assumptions!$B$9:$D$9,$C30)/INDEX(Assumptions!$B$10:$D$10,$C30)</f>
        <v>0.0666666666666667</v>
      </c>
      <c r="F30" s="1" t="n">
        <f aca="false">I30*3</f>
        <v>9</v>
      </c>
      <c r="G30" s="1" t="n">
        <f aca="false">CEILING(MAX(E30/F30,8),8)</f>
        <v>8</v>
      </c>
      <c r="H30" s="1" t="n">
        <f aca="false">INDEX(Assumptions!$B$4:$D$4,$C30)*INDEX(Assumptions!$B$5:$D$5,$C30)*INDEX(Assumptions!$B$13:$D$13,$C30)*(1+INDEX(Assumptions!$B$14:$D$14,$C30))</f>
        <v>8625</v>
      </c>
      <c r="I30" s="1" t="n">
        <f aca="false">ROUNDUP(H30/(Prices!$D$7*INDEX(Assumptions!$B$20:$D$20,$C30)),0)</f>
        <v>3</v>
      </c>
      <c r="J30" s="1" t="n">
        <f aca="false">F30*IF(G30&lt;=8,Prices!$D$4,IF(G30&lt;=16,Prices!$D$5,Prices!$D$6))*INDEX(Assumptions!$B$8:$D$8,$C30)*(1+INDEX(Assumptions!$B$21:$D$21,$C30))*INDEX(Assumptions!$B$22:$D$22,$C30)</f>
        <v>14454</v>
      </c>
      <c r="K30" s="1" t="n">
        <f aca="false">H30*3*INDEX(Assumptions!$B$23:$D$23,$C30)</f>
        <v>0</v>
      </c>
      <c r="L30" s="1" t="n">
        <f aca="false">H30*INDEX(Assumptions!$B$15:$D$15,$C30)*Prices!$D$8</f>
        <v>414</v>
      </c>
      <c r="M30" s="1" t="n">
        <f aca="false">INDEX(Assumptions!$B$18:$D$18,$C30)*Prices!$D$26+IF(D30&lt;1,INDEX(Assumptions!$B$19:$D$19,$C30)*Prices!$D$27,0)</f>
        <v>190</v>
      </c>
      <c r="N30" s="1" t="n">
        <f aca="false">1+D30*INDEX(Assumptions!$B$16:$D$16,$C30)</f>
        <v>1.04</v>
      </c>
      <c r="O30" s="1" t="n">
        <f aca="false">IF(D30&lt;1,INDEX(Assumptions!$B$17:$D$17,$C30)*J30*N30,0)</f>
        <v>1503.216</v>
      </c>
      <c r="P30" s="1" t="n">
        <f aca="false">(J30+K30+L30)*N30+O30+M30</f>
        <v>17155.936</v>
      </c>
      <c r="Q30" s="1" t="n">
        <f aca="false">P30/INDEX(Assumptions!$B$4:$D$4,$C30)</f>
        <v>343.11872</v>
      </c>
    </row>
    <row r="31" customFormat="false" ht="15" hidden="false" customHeight="false" outlineLevel="0" collapsed="false">
      <c r="A31" s="1" t="s">
        <v>142</v>
      </c>
      <c r="B31" s="1" t="s">
        <v>4</v>
      </c>
      <c r="C31" s="1" t="n">
        <v>3</v>
      </c>
      <c r="D31" s="1" t="n">
        <v>0.5</v>
      </c>
      <c r="E31" s="1" t="n">
        <f aca="false">INDEX(Assumptions!$B$7:$D$7,$C31)*INDEX(Assumptions!$B$9:$D$9,$C31)/INDEX(Assumptions!$B$10:$D$10,$C31)</f>
        <v>0.16</v>
      </c>
      <c r="F31" s="1" t="n">
        <f aca="false">I31*3</f>
        <v>12</v>
      </c>
      <c r="G31" s="1" t="n">
        <f aca="false">CEILING(MAX(E31/F31,8),8)</f>
        <v>8</v>
      </c>
      <c r="H31" s="1" t="n">
        <f aca="false">INDEX(Assumptions!$B$4:$D$4,$C31)*INDEX(Assumptions!$B$5:$D$5,$C31)*INDEX(Assumptions!$B$13:$D$13,$C31)*(1+INDEX(Assumptions!$B$14:$D$14,$C31))</f>
        <v>12500</v>
      </c>
      <c r="I31" s="1" t="n">
        <f aca="false">ROUNDUP(H31/(Prices!$D$7*INDEX(Assumptions!$B$20:$D$20,$C31)),0)</f>
        <v>4</v>
      </c>
      <c r="J31" s="1" t="n">
        <f aca="false">F31*IF(G31&lt;=8,Prices!$D$4,IF(G31&lt;=16,Prices!$D$5,Prices!$D$6))*INDEX(Assumptions!$B$8:$D$8,$C31)*(1+INDEX(Assumptions!$B$21:$D$21,$C31))*INDEX(Assumptions!$B$22:$D$22,$C31)</f>
        <v>20235.6</v>
      </c>
      <c r="K31" s="1" t="n">
        <f aca="false">H31*3*INDEX(Assumptions!$B$23:$D$23,$C31)</f>
        <v>1125</v>
      </c>
      <c r="L31" s="1" t="n">
        <f aca="false">H31*INDEX(Assumptions!$B$15:$D$15,$C31)*Prices!$D$8</f>
        <v>900</v>
      </c>
      <c r="M31" s="1" t="n">
        <f aca="false">INDEX(Assumptions!$B$18:$D$18,$C31)*Prices!$D$26+IF(D31&lt;1,INDEX(Assumptions!$B$19:$D$19,$C31)*Prices!$D$27,0)</f>
        <v>490</v>
      </c>
      <c r="N31" s="1" t="n">
        <f aca="false">1+D31*INDEX(Assumptions!$B$16:$D$16,$C31)</f>
        <v>1.075</v>
      </c>
      <c r="O31" s="1" t="n">
        <f aca="false">IF(D31&lt;1,INDEX(Assumptions!$B$17:$D$17,$C31)*J31*N31,0)</f>
        <v>3262.9905</v>
      </c>
      <c r="P31" s="1" t="n">
        <f aca="false">(J31+K31+L31)*N31+O31+M31</f>
        <v>27683.1355</v>
      </c>
      <c r="Q31" s="1" t="n">
        <f aca="false">P31/INDEX(Assumptions!$B$4:$D$4,$C31)</f>
        <v>553.66271</v>
      </c>
    </row>
    <row r="32" customFormat="false" ht="15" hidden="false" customHeight="false" outlineLevel="0" collapsed="false">
      <c r="A32" s="1" t="s">
        <v>142</v>
      </c>
      <c r="B32" s="1" t="s">
        <v>138</v>
      </c>
      <c r="C32" s="1" t="n">
        <v>2</v>
      </c>
      <c r="D32" s="1" t="n">
        <v>0.2</v>
      </c>
      <c r="E32" s="1" t="n">
        <f aca="false">INDEX(Assumptions!$B$7:$D$7,$C32)*INDEX(Assumptions!$B$9:$D$9,$C32)/INDEX(Assumptions!$B$10:$D$10,$C32)</f>
        <v>0.0666666666666667</v>
      </c>
      <c r="F32" s="1" t="n">
        <f aca="false">I32*3</f>
        <v>9</v>
      </c>
      <c r="G32" s="1" t="n">
        <f aca="false">CEILING(MAX(E32/F32,8),8)</f>
        <v>8</v>
      </c>
      <c r="H32" s="1" t="n">
        <f aca="false">INDEX(Assumptions!$B$4:$D$4,$C32)*INDEX(Assumptions!$B$5:$D$5,$C32)*INDEX(Assumptions!$B$13:$D$13,$C32)*(1+INDEX(Assumptions!$B$14:$D$14,$C32))</f>
        <v>8625</v>
      </c>
      <c r="I32" s="1" t="n">
        <f aca="false">ROUNDUP(H32/(Prices!$D$7*INDEX(Assumptions!$B$20:$D$20,$C32)),0)</f>
        <v>3</v>
      </c>
      <c r="J32" s="1" t="n">
        <f aca="false">F32*IF(G32&lt;=8,Prices!$D$4,IF(G32&lt;=16,Prices!$D$5,Prices!$D$6))*INDEX(Assumptions!$B$8:$D$8,$C32)*(1+INDEX(Assumptions!$B$21:$D$21,$C32))*INDEX(Assumptions!$B$22:$D$22,$C32)</f>
        <v>14454</v>
      </c>
      <c r="K32" s="1" t="n">
        <f aca="false">H32*3*INDEX(Assumptions!$B$23:$D$23,$C32)</f>
        <v>0</v>
      </c>
      <c r="L32" s="1" t="n">
        <f aca="false">H32*INDEX(Assumptions!$B$15:$D$15,$C32)*Prices!$D$8</f>
        <v>414</v>
      </c>
      <c r="M32" s="1" t="n">
        <f aca="false">INDEX(Assumptions!$B$18:$D$18,$C32)*Prices!$D$26+IF(D32&lt;1,INDEX(Assumptions!$B$19:$D$19,$C32)*Prices!$D$27,0)</f>
        <v>190</v>
      </c>
      <c r="N32" s="1" t="n">
        <f aca="false">1+D32*INDEX(Assumptions!$B$16:$D$16,$C32)</f>
        <v>1.016</v>
      </c>
      <c r="O32" s="1" t="n">
        <f aca="false">IF(D32&lt;1,INDEX(Assumptions!$B$17:$D$17,$C32)*J32*N32,0)</f>
        <v>1468.5264</v>
      </c>
      <c r="P32" s="1" t="n">
        <f aca="false">(J32+K32+L32)*N32+O32+M32</f>
        <v>16764.4144</v>
      </c>
      <c r="Q32" s="1" t="n">
        <f aca="false">P32/INDEX(Assumptions!$B$4:$D$4,$C32)</f>
        <v>335.288288</v>
      </c>
    </row>
    <row r="33" customFormat="false" ht="15" hidden="false" customHeight="false" outlineLevel="0" collapsed="false">
      <c r="A33" s="1" t="s">
        <v>142</v>
      </c>
      <c r="B33" s="1" t="s">
        <v>139</v>
      </c>
      <c r="C33" s="1" t="n">
        <v>2</v>
      </c>
      <c r="D33" s="1" t="n">
        <v>1</v>
      </c>
      <c r="E33" s="1" t="n">
        <f aca="false">INDEX(Assumptions!$B$7:$D$7,$C33)*INDEX(Assumptions!$B$9:$D$9,$C33)/INDEX(Assumptions!$B$10:$D$10,$C33)</f>
        <v>0.0666666666666667</v>
      </c>
      <c r="F33" s="1" t="n">
        <f aca="false">I33*3</f>
        <v>9</v>
      </c>
      <c r="G33" s="1" t="n">
        <f aca="false">CEILING(MAX(E33/F33,8),8)</f>
        <v>8</v>
      </c>
      <c r="H33" s="1" t="n">
        <f aca="false">INDEX(Assumptions!$B$4:$D$4,$C33)*INDEX(Assumptions!$B$5:$D$5,$C33)*INDEX(Assumptions!$B$13:$D$13,$C33)*(1+INDEX(Assumptions!$B$14:$D$14,$C33))</f>
        <v>8625</v>
      </c>
      <c r="I33" s="1" t="n">
        <f aca="false">ROUNDUP(H33/(Prices!$D$7*INDEX(Assumptions!$B$20:$D$20,$C33)),0)</f>
        <v>3</v>
      </c>
      <c r="J33" s="1" t="n">
        <f aca="false">F33*IF(G33&lt;=8,Prices!$D$4,IF(G33&lt;=16,Prices!$D$5,Prices!$D$6))*INDEX(Assumptions!$B$8:$D$8,$C33)*(1+INDEX(Assumptions!$B$21:$D$21,$C33))*INDEX(Assumptions!$B$22:$D$22,$C33)</f>
        <v>14454</v>
      </c>
      <c r="K33" s="1" t="n">
        <f aca="false">H33*3*INDEX(Assumptions!$B$23:$D$23,$C33)</f>
        <v>0</v>
      </c>
      <c r="L33" s="1" t="n">
        <f aca="false">H33*INDEX(Assumptions!$B$15:$D$15,$C33)*Prices!$D$8</f>
        <v>414</v>
      </c>
      <c r="M33" s="1" t="n">
        <f aca="false">INDEX(Assumptions!$B$18:$D$18,$C33)*Prices!$D$26+IF(D33&lt;1,INDEX(Assumptions!$B$19:$D$19,$C33)*Prices!$D$27,0)</f>
        <v>180</v>
      </c>
      <c r="N33" s="1" t="n">
        <f aca="false">1+D33*INDEX(Assumptions!$B$16:$D$16,$C33)</f>
        <v>1.08</v>
      </c>
      <c r="O33" s="1" t="n">
        <f aca="false">IF(D33&lt;1,INDEX(Assumptions!$B$17:$D$17,$C33)*J33*N33,0)</f>
        <v>0</v>
      </c>
      <c r="P33" s="1" t="n">
        <f aca="false">(J33+K33+L33)*N33+O33+M33</f>
        <v>16237.44</v>
      </c>
      <c r="Q33" s="1" t="n">
        <f aca="false">P33/INDEX(Assumptions!$B$4:$D$4,$C33)</f>
        <v>324.7488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143</v>
      </c>
    </row>
    <row r="3" customFormat="false" ht="15" hidden="false" customHeight="false" outlineLevel="0" collapsed="false">
      <c r="A3" s="2" t="s">
        <v>47</v>
      </c>
      <c r="B3" s="2" t="s">
        <v>144</v>
      </c>
      <c r="C3" s="2" t="s">
        <v>122</v>
      </c>
      <c r="D3" s="2" t="s">
        <v>124</v>
      </c>
      <c r="E3" s="2" t="s">
        <v>145</v>
      </c>
      <c r="F3" s="2" t="s">
        <v>137</v>
      </c>
      <c r="G3" s="2" t="s">
        <v>146</v>
      </c>
    </row>
    <row r="4" customFormat="false" ht="15" hidden="false" customHeight="false" outlineLevel="0" collapsed="false">
      <c r="A4" s="1" t="s">
        <v>147</v>
      </c>
      <c r="B4" s="1" t="s">
        <v>148</v>
      </c>
      <c r="C4" s="1" t="s">
        <v>2</v>
      </c>
      <c r="D4" s="4" t="n">
        <f aca="false">Model!D4</f>
        <v>0.5</v>
      </c>
      <c r="E4" s="5" t="n">
        <f aca="false">Model!P4</f>
        <v>7295.75</v>
      </c>
      <c r="F4" s="6" t="n">
        <f aca="false">Model!Q4</f>
        <v>145.915</v>
      </c>
      <c r="G4" s="1" t="s">
        <v>149</v>
      </c>
    </row>
    <row r="5" customFormat="false" ht="15" hidden="false" customHeight="false" outlineLevel="0" collapsed="false">
      <c r="A5" s="1" t="s">
        <v>147</v>
      </c>
      <c r="B5" s="1" t="s">
        <v>148</v>
      </c>
      <c r="C5" s="1" t="s">
        <v>3</v>
      </c>
      <c r="D5" s="4" t="n">
        <f aca="false">Model!D5</f>
        <v>0.5</v>
      </c>
      <c r="E5" s="5" t="n">
        <f aca="false">Model!P5</f>
        <v>11466.98</v>
      </c>
      <c r="F5" s="6" t="n">
        <f aca="false">Model!Q5</f>
        <v>229.3396</v>
      </c>
      <c r="G5" s="1" t="s">
        <v>149</v>
      </c>
    </row>
    <row r="6" customFormat="false" ht="15" hidden="false" customHeight="false" outlineLevel="0" collapsed="false">
      <c r="A6" s="1" t="s">
        <v>147</v>
      </c>
      <c r="B6" s="1" t="s">
        <v>148</v>
      </c>
      <c r="C6" s="1" t="s">
        <v>4</v>
      </c>
      <c r="D6" s="4" t="n">
        <f aca="false">Model!D6</f>
        <v>0.5</v>
      </c>
      <c r="E6" s="5" t="n">
        <f aca="false">Model!P6</f>
        <v>16572</v>
      </c>
      <c r="F6" s="6" t="n">
        <f aca="false">Model!Q6</f>
        <v>331.44</v>
      </c>
      <c r="G6" s="1" t="s">
        <v>149</v>
      </c>
    </row>
    <row r="7" customFormat="false" ht="15" hidden="false" customHeight="false" outlineLevel="0" collapsed="false">
      <c r="A7" s="1" t="s">
        <v>147</v>
      </c>
      <c r="B7" s="1" t="s">
        <v>148</v>
      </c>
      <c r="C7" s="1" t="s">
        <v>138</v>
      </c>
      <c r="D7" s="4" t="n">
        <f aca="false">Model!D7</f>
        <v>0.2</v>
      </c>
      <c r="E7" s="5" t="n">
        <f aca="false">Model!P7</f>
        <v>11206.742</v>
      </c>
      <c r="F7" s="6" t="n">
        <f aca="false">Model!Q7</f>
        <v>224.13484</v>
      </c>
      <c r="G7" s="1" t="s">
        <v>149</v>
      </c>
    </row>
    <row r="8" customFormat="false" ht="15" hidden="false" customHeight="false" outlineLevel="0" collapsed="false">
      <c r="A8" s="1" t="s">
        <v>147</v>
      </c>
      <c r="B8" s="1" t="s">
        <v>148</v>
      </c>
      <c r="C8" s="1" t="s">
        <v>139</v>
      </c>
      <c r="D8" s="4" t="n">
        <f aca="false">Model!D8</f>
        <v>1</v>
      </c>
      <c r="E8" s="5" t="n">
        <f aca="false">Model!P8</f>
        <v>11575.35</v>
      </c>
      <c r="F8" s="6" t="n">
        <f aca="false">Model!Q8</f>
        <v>231.507</v>
      </c>
      <c r="G8" s="1" t="s">
        <v>149</v>
      </c>
    </row>
    <row r="9" customFormat="false" ht="15" hidden="false" customHeight="false" outlineLevel="0" collapsed="false">
      <c r="A9" s="1" t="s">
        <v>147</v>
      </c>
      <c r="B9" s="1" t="s">
        <v>150</v>
      </c>
      <c r="C9" s="1" t="s">
        <v>2</v>
      </c>
      <c r="D9" s="4" t="n">
        <f aca="false">Model!D9</f>
        <v>0.5</v>
      </c>
      <c r="E9" s="5" t="n">
        <f aca="false">Model!P9</f>
        <v>5345.514</v>
      </c>
      <c r="F9" s="6" t="n">
        <f aca="false">Model!Q9</f>
        <v>106.91028</v>
      </c>
      <c r="G9" s="1" t="s">
        <v>149</v>
      </c>
    </row>
    <row r="10" customFormat="false" ht="15" hidden="false" customHeight="false" outlineLevel="0" collapsed="false">
      <c r="A10" s="1" t="s">
        <v>147</v>
      </c>
      <c r="B10" s="1" t="s">
        <v>150</v>
      </c>
      <c r="C10" s="1" t="s">
        <v>3</v>
      </c>
      <c r="D10" s="4" t="n">
        <f aca="false">Model!D10</f>
        <v>0.5</v>
      </c>
      <c r="E10" s="5" t="n">
        <f aca="false">Model!P10</f>
        <v>7485.88288</v>
      </c>
      <c r="F10" s="6" t="n">
        <f aca="false">Model!Q10</f>
        <v>149.7176576</v>
      </c>
      <c r="G10" s="1" t="s">
        <v>149</v>
      </c>
    </row>
    <row r="11" customFormat="false" ht="15" hidden="false" customHeight="false" outlineLevel="0" collapsed="false">
      <c r="A11" s="1" t="s">
        <v>147</v>
      </c>
      <c r="B11" s="1" t="s">
        <v>150</v>
      </c>
      <c r="C11" s="1" t="s">
        <v>4</v>
      </c>
      <c r="D11" s="4" t="n">
        <f aca="false">Model!D11</f>
        <v>0.5</v>
      </c>
      <c r="E11" s="5" t="n">
        <f aca="false">Model!P11</f>
        <v>10069.7163</v>
      </c>
      <c r="F11" s="6" t="n">
        <f aca="false">Model!Q11</f>
        <v>201.394326</v>
      </c>
      <c r="G11" s="1" t="s">
        <v>149</v>
      </c>
    </row>
    <row r="12" customFormat="false" ht="15" hidden="false" customHeight="false" outlineLevel="0" collapsed="false">
      <c r="A12" s="1" t="s">
        <v>147</v>
      </c>
      <c r="B12" s="1" t="s">
        <v>150</v>
      </c>
      <c r="C12" s="1" t="s">
        <v>138</v>
      </c>
      <c r="D12" s="4" t="n">
        <f aca="false">Model!D12</f>
        <v>0.2</v>
      </c>
      <c r="E12" s="5" t="n">
        <f aca="false">Model!P12</f>
        <v>7317.516352</v>
      </c>
      <c r="F12" s="6" t="n">
        <f aca="false">Model!Q12</f>
        <v>146.35032704</v>
      </c>
      <c r="G12" s="1" t="s">
        <v>149</v>
      </c>
    </row>
    <row r="13" customFormat="false" ht="15" hidden="false" customHeight="false" outlineLevel="0" collapsed="false">
      <c r="A13" s="1" t="s">
        <v>147</v>
      </c>
      <c r="B13" s="1" t="s">
        <v>150</v>
      </c>
      <c r="C13" s="1" t="s">
        <v>139</v>
      </c>
      <c r="D13" s="4" t="n">
        <f aca="false">Model!D13</f>
        <v>1</v>
      </c>
      <c r="E13" s="5" t="n">
        <f aca="false">Model!P13</f>
        <v>7399.8216</v>
      </c>
      <c r="F13" s="6" t="n">
        <f aca="false">Model!Q13</f>
        <v>147.996432</v>
      </c>
      <c r="G13" s="1" t="s">
        <v>149</v>
      </c>
    </row>
    <row r="14" customFormat="false" ht="15" hidden="false" customHeight="false" outlineLevel="0" collapsed="false">
      <c r="A14" s="1" t="s">
        <v>151</v>
      </c>
      <c r="B14" s="1" t="s">
        <v>152</v>
      </c>
      <c r="C14" s="1" t="s">
        <v>2</v>
      </c>
      <c r="D14" s="4" t="n">
        <f aca="false">Model!D14</f>
        <v>0.5</v>
      </c>
      <c r="E14" s="5" t="n">
        <f aca="false">Model!P14</f>
        <v>8497.3868</v>
      </c>
      <c r="F14" s="6" t="n">
        <f aca="false">Model!Q14</f>
        <v>169.947736</v>
      </c>
      <c r="G14" s="1" t="s">
        <v>149</v>
      </c>
    </row>
    <row r="15" customFormat="false" ht="15" hidden="false" customHeight="false" outlineLevel="0" collapsed="false">
      <c r="A15" s="1" t="s">
        <v>151</v>
      </c>
      <c r="B15" s="1" t="s">
        <v>152</v>
      </c>
      <c r="C15" s="1" t="s">
        <v>3</v>
      </c>
      <c r="D15" s="4" t="n">
        <f aca="false">Model!D15</f>
        <v>0.5</v>
      </c>
      <c r="E15" s="5" t="n">
        <f aca="false">Model!P15</f>
        <v>13284.095872</v>
      </c>
      <c r="F15" s="6" t="n">
        <f aca="false">Model!Q15</f>
        <v>265.68191744</v>
      </c>
      <c r="G15" s="1" t="s">
        <v>149</v>
      </c>
    </row>
    <row r="16" customFormat="false" ht="15" hidden="false" customHeight="false" outlineLevel="0" collapsed="false">
      <c r="A16" s="1" t="s">
        <v>151</v>
      </c>
      <c r="B16" s="1" t="s">
        <v>152</v>
      </c>
      <c r="C16" s="1" t="s">
        <v>4</v>
      </c>
      <c r="D16" s="4" t="n">
        <f aca="false">Model!D16</f>
        <v>0.5</v>
      </c>
      <c r="E16" s="5" t="n">
        <f aca="false">Model!P16</f>
        <v>19138.25505</v>
      </c>
      <c r="F16" s="6" t="n">
        <f aca="false">Model!Q16</f>
        <v>382.765101</v>
      </c>
      <c r="G16" s="1" t="s">
        <v>149</v>
      </c>
    </row>
    <row r="17" customFormat="false" ht="15" hidden="false" customHeight="false" outlineLevel="0" collapsed="false">
      <c r="A17" s="1" t="s">
        <v>151</v>
      </c>
      <c r="B17" s="1" t="s">
        <v>152</v>
      </c>
      <c r="C17" s="1" t="s">
        <v>138</v>
      </c>
      <c r="D17" s="4" t="n">
        <f aca="false">Model!D17</f>
        <v>0.2</v>
      </c>
      <c r="E17" s="5" t="n">
        <f aca="false">Model!P17</f>
        <v>12981.9244288</v>
      </c>
      <c r="F17" s="6" t="n">
        <f aca="false">Model!Q17</f>
        <v>259.638488576</v>
      </c>
      <c r="G17" s="1" t="s">
        <v>149</v>
      </c>
    </row>
    <row r="18" customFormat="false" ht="15" hidden="false" customHeight="false" outlineLevel="0" collapsed="false">
      <c r="A18" s="1" t="s">
        <v>151</v>
      </c>
      <c r="B18" s="1" t="s">
        <v>152</v>
      </c>
      <c r="C18" s="1" t="s">
        <v>139</v>
      </c>
      <c r="D18" s="4" t="n">
        <f aca="false">Model!D18</f>
        <v>1</v>
      </c>
      <c r="E18" s="5" t="n">
        <f aca="false">Model!P18</f>
        <v>13567.55904</v>
      </c>
      <c r="F18" s="6" t="n">
        <f aca="false">Model!Q18</f>
        <v>271.3511808</v>
      </c>
      <c r="G18" s="1" t="s">
        <v>149</v>
      </c>
    </row>
    <row r="19" customFormat="false" ht="15" hidden="false" customHeight="false" outlineLevel="0" collapsed="false">
      <c r="A19" s="1" t="s">
        <v>151</v>
      </c>
      <c r="B19" s="1" t="s">
        <v>153</v>
      </c>
      <c r="C19" s="1" t="s">
        <v>2</v>
      </c>
      <c r="D19" s="4" t="n">
        <f aca="false">Model!D19</f>
        <v>0.5</v>
      </c>
      <c r="E19" s="5" t="n">
        <f aca="false">Model!P19</f>
        <v>7326.9426</v>
      </c>
      <c r="F19" s="6" t="n">
        <f aca="false">Model!Q19</f>
        <v>146.538852</v>
      </c>
      <c r="G19" s="1" t="s">
        <v>149</v>
      </c>
    </row>
    <row r="20" customFormat="false" ht="15" hidden="false" customHeight="false" outlineLevel="0" collapsed="false">
      <c r="A20" s="1" t="s">
        <v>151</v>
      </c>
      <c r="B20" s="1" t="s">
        <v>153</v>
      </c>
      <c r="C20" s="1" t="s">
        <v>3</v>
      </c>
      <c r="D20" s="4" t="n">
        <f aca="false">Model!D20</f>
        <v>0.5</v>
      </c>
      <c r="E20" s="5" t="n">
        <f aca="false">Model!P20</f>
        <v>10067.757604</v>
      </c>
      <c r="F20" s="6" t="n">
        <f aca="false">Model!Q20</f>
        <v>201.35515208</v>
      </c>
      <c r="G20" s="1" t="s">
        <v>149</v>
      </c>
    </row>
    <row r="21" customFormat="false" ht="15" hidden="false" customHeight="false" outlineLevel="0" collapsed="false">
      <c r="A21" s="1" t="s">
        <v>151</v>
      </c>
      <c r="B21" s="1" t="s">
        <v>153</v>
      </c>
      <c r="C21" s="1" t="s">
        <v>4</v>
      </c>
      <c r="D21" s="4" t="n">
        <f aca="false">Model!D21</f>
        <v>0.5</v>
      </c>
      <c r="E21" s="5" t="n">
        <f aca="false">Model!P21</f>
        <v>13362.7251</v>
      </c>
      <c r="F21" s="6" t="n">
        <f aca="false">Model!Q21</f>
        <v>267.254502</v>
      </c>
      <c r="G21" s="1" t="s">
        <v>149</v>
      </c>
    </row>
    <row r="22" customFormat="false" ht="15" hidden="false" customHeight="false" outlineLevel="0" collapsed="false">
      <c r="A22" s="1" t="s">
        <v>151</v>
      </c>
      <c r="B22" s="1" t="s">
        <v>153</v>
      </c>
      <c r="C22" s="1" t="s">
        <v>138</v>
      </c>
      <c r="D22" s="4" t="n">
        <f aca="false">Model!D22</f>
        <v>0.2</v>
      </c>
      <c r="E22" s="5" t="n">
        <f aca="false">Model!P22</f>
        <v>9839.8093516</v>
      </c>
      <c r="F22" s="6" t="n">
        <f aca="false">Model!Q22</f>
        <v>196.796187032</v>
      </c>
      <c r="G22" s="1" t="s">
        <v>149</v>
      </c>
    </row>
    <row r="23" customFormat="false" ht="15" hidden="false" customHeight="false" outlineLevel="0" collapsed="false">
      <c r="A23" s="1" t="s">
        <v>151</v>
      </c>
      <c r="B23" s="1" t="s">
        <v>153</v>
      </c>
      <c r="C23" s="1" t="s">
        <v>139</v>
      </c>
      <c r="D23" s="4" t="n">
        <f aca="false">Model!D23</f>
        <v>1</v>
      </c>
      <c r="E23" s="5" t="n">
        <f aca="false">Model!P23</f>
        <v>10045.11123</v>
      </c>
      <c r="F23" s="6" t="n">
        <f aca="false">Model!Q23</f>
        <v>200.9022246</v>
      </c>
      <c r="G23" s="1" t="s">
        <v>149</v>
      </c>
    </row>
    <row r="24" customFormat="false" ht="15" hidden="false" customHeight="false" outlineLevel="0" collapsed="false">
      <c r="A24" s="1" t="s">
        <v>147</v>
      </c>
      <c r="B24" s="1" t="s">
        <v>141</v>
      </c>
      <c r="C24" s="1" t="s">
        <v>2</v>
      </c>
      <c r="D24" s="4" t="n">
        <f aca="false">Model!D24</f>
        <v>0.5</v>
      </c>
      <c r="E24" s="5" t="n">
        <f aca="false">Model!P24</f>
        <v>10339.8</v>
      </c>
      <c r="F24" s="6" t="n">
        <f aca="false">Model!Q24</f>
        <v>206.796</v>
      </c>
      <c r="G24" s="1" t="s">
        <v>149</v>
      </c>
    </row>
    <row r="25" customFormat="false" ht="15" hidden="false" customHeight="false" outlineLevel="0" collapsed="false">
      <c r="A25" s="1" t="s">
        <v>147</v>
      </c>
      <c r="B25" s="1" t="s">
        <v>141</v>
      </c>
      <c r="C25" s="1" t="s">
        <v>3</v>
      </c>
      <c r="D25" s="4" t="n">
        <f aca="false">Model!D25</f>
        <v>0.5</v>
      </c>
      <c r="E25" s="5" t="n">
        <f aca="false">Model!P25</f>
        <v>17155.936</v>
      </c>
      <c r="F25" s="6" t="n">
        <f aca="false">Model!Q25</f>
        <v>343.11872</v>
      </c>
      <c r="G25" s="1" t="s">
        <v>149</v>
      </c>
    </row>
    <row r="26" customFormat="false" ht="15" hidden="false" customHeight="false" outlineLevel="0" collapsed="false">
      <c r="A26" s="1" t="s">
        <v>147</v>
      </c>
      <c r="B26" s="1" t="s">
        <v>141</v>
      </c>
      <c r="C26" s="1" t="s">
        <v>4</v>
      </c>
      <c r="D26" s="4" t="n">
        <f aca="false">Model!D26</f>
        <v>0.5</v>
      </c>
      <c r="E26" s="5" t="n">
        <f aca="false">Model!P26</f>
        <v>26491.885</v>
      </c>
      <c r="F26" s="6" t="n">
        <f aca="false">Model!Q26</f>
        <v>529.8377</v>
      </c>
      <c r="G26" s="1" t="s">
        <v>149</v>
      </c>
    </row>
    <row r="27" customFormat="false" ht="15" hidden="false" customHeight="false" outlineLevel="0" collapsed="false">
      <c r="A27" s="1" t="s">
        <v>147</v>
      </c>
      <c r="B27" s="1" t="s">
        <v>141</v>
      </c>
      <c r="C27" s="1" t="s">
        <v>138</v>
      </c>
      <c r="D27" s="4" t="n">
        <f aca="false">Model!D27</f>
        <v>0.2</v>
      </c>
      <c r="E27" s="5" t="n">
        <f aca="false">Model!P27</f>
        <v>16764.4144</v>
      </c>
      <c r="F27" s="6" t="n">
        <f aca="false">Model!Q27</f>
        <v>335.288288</v>
      </c>
      <c r="G27" s="1" t="s">
        <v>149</v>
      </c>
    </row>
    <row r="28" customFormat="false" ht="15" hidden="false" customHeight="false" outlineLevel="0" collapsed="false">
      <c r="A28" s="1" t="s">
        <v>147</v>
      </c>
      <c r="B28" s="1" t="s">
        <v>141</v>
      </c>
      <c r="C28" s="1" t="s">
        <v>139</v>
      </c>
      <c r="D28" s="4" t="n">
        <f aca="false">Model!D28</f>
        <v>1</v>
      </c>
      <c r="E28" s="5" t="n">
        <f aca="false">Model!P28</f>
        <v>16237.44</v>
      </c>
      <c r="F28" s="6" t="n">
        <f aca="false">Model!Q28</f>
        <v>324.7488</v>
      </c>
      <c r="G28" s="1" t="s">
        <v>149</v>
      </c>
    </row>
    <row r="29" customFormat="false" ht="15" hidden="false" customHeight="false" outlineLevel="0" collapsed="false">
      <c r="A29" s="1" t="s">
        <v>151</v>
      </c>
      <c r="B29" s="1" t="s">
        <v>142</v>
      </c>
      <c r="C29" s="1" t="s">
        <v>2</v>
      </c>
      <c r="D29" s="4" t="n">
        <f aca="false">Model!D29</f>
        <v>0.5</v>
      </c>
      <c r="E29" s="5" t="n">
        <f aca="false">Model!P29</f>
        <v>10339.8</v>
      </c>
      <c r="F29" s="6" t="n">
        <f aca="false">Model!Q29</f>
        <v>206.796</v>
      </c>
      <c r="G29" s="1" t="s">
        <v>149</v>
      </c>
    </row>
    <row r="30" customFormat="false" ht="15" hidden="false" customHeight="false" outlineLevel="0" collapsed="false">
      <c r="A30" s="1" t="s">
        <v>151</v>
      </c>
      <c r="B30" s="1" t="s">
        <v>142</v>
      </c>
      <c r="C30" s="1" t="s">
        <v>3</v>
      </c>
      <c r="D30" s="4" t="n">
        <f aca="false">Model!D30</f>
        <v>0.5</v>
      </c>
      <c r="E30" s="5" t="n">
        <f aca="false">Model!P30</f>
        <v>17155.936</v>
      </c>
      <c r="F30" s="6" t="n">
        <f aca="false">Model!Q30</f>
        <v>343.11872</v>
      </c>
      <c r="G30" s="1" t="s">
        <v>149</v>
      </c>
    </row>
    <row r="31" customFormat="false" ht="15" hidden="false" customHeight="false" outlineLevel="0" collapsed="false">
      <c r="A31" s="1" t="s">
        <v>151</v>
      </c>
      <c r="B31" s="1" t="s">
        <v>142</v>
      </c>
      <c r="C31" s="1" t="s">
        <v>4</v>
      </c>
      <c r="D31" s="4" t="n">
        <f aca="false">Model!D31</f>
        <v>0.5</v>
      </c>
      <c r="E31" s="5" t="n">
        <f aca="false">Model!P31</f>
        <v>27683.1355</v>
      </c>
      <c r="F31" s="6" t="n">
        <f aca="false">Model!Q31</f>
        <v>553.66271</v>
      </c>
      <c r="G31" s="1" t="s">
        <v>149</v>
      </c>
    </row>
    <row r="32" customFormat="false" ht="15" hidden="false" customHeight="false" outlineLevel="0" collapsed="false">
      <c r="A32" s="1" t="s">
        <v>151</v>
      </c>
      <c r="B32" s="1" t="s">
        <v>142</v>
      </c>
      <c r="C32" s="1" t="s">
        <v>138</v>
      </c>
      <c r="D32" s="4" t="n">
        <f aca="false">Model!D32</f>
        <v>0.2</v>
      </c>
      <c r="E32" s="5" t="n">
        <f aca="false">Model!P32</f>
        <v>16764.4144</v>
      </c>
      <c r="F32" s="6" t="n">
        <f aca="false">Model!Q32</f>
        <v>335.288288</v>
      </c>
      <c r="G32" s="1" t="s">
        <v>149</v>
      </c>
    </row>
    <row r="33" customFormat="false" ht="15" hidden="false" customHeight="false" outlineLevel="0" collapsed="false">
      <c r="A33" s="1" t="s">
        <v>151</v>
      </c>
      <c r="B33" s="1" t="s">
        <v>142</v>
      </c>
      <c r="C33" s="1" t="s">
        <v>139</v>
      </c>
      <c r="D33" s="4" t="n">
        <f aca="false">Model!D33</f>
        <v>1</v>
      </c>
      <c r="E33" s="5" t="n">
        <f aca="false">Model!P33</f>
        <v>16237.44</v>
      </c>
      <c r="F33" s="6" t="n">
        <f aca="false">Model!Q33</f>
        <v>324.7488</v>
      </c>
      <c r="G33" s="1" t="s">
        <v>149</v>
      </c>
    </row>
    <row r="35" customFormat="false" ht="15" hidden="false" customHeight="false" outlineLevel="0" collapsed="false">
      <c r="A35" s="1" t="s">
        <v>154</v>
      </c>
      <c r="E35" s="1" t="n">
        <f aca="false">SUM(E4:E33)</f>
        <v>389017.0415084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2026-10-23T03:45:15Z</dcterms:created>
  <dc:creator>openpyxl</dc:creator>
  <dc:description/>
  <dc:language>en-US</dc:language>
  <cp:lastModifiedBy/>
  <dcterms:modified xsi:type="dcterms:W3CDTF">2026-10-23T03:45:15Z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