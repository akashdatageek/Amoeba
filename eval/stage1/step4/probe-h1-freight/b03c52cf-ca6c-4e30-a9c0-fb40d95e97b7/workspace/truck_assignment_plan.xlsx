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" sheetId="1" state="visible" r:id="rId3"/>
    <sheet name="Inputs" sheetId="2" state="visible" r:id="rId4"/>
    <sheet name="Cost" sheetId="3" state="visible" r:id="rId5"/>
    <sheet name="Optim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<sst xmlns="http://schemas.openxmlformats.org/spreadsheetml/2006/main" count="86" uniqueCount="71">
  <si>
    <t xml:space="preserve">Load</t>
  </si>
  <si>
    <t xml:space="preserve">Truck</t>
  </si>
  <si>
    <t xml:space="preserve">Weight</t>
  </si>
  <si>
    <t xml:space="preserve">Miles</t>
  </si>
  <si>
    <t xml:space="preserve">Helper (list build) →</t>
  </si>
  <si>
    <t xml:space="preserve">A</t>
  </si>
  <si>
    <t xml:space="preserve">D</t>
  </si>
  <si>
    <t xml:space="preserve">C</t>
  </si>
  <si>
    <t xml:space="preserve">B</t>
  </si>
  <si>
    <t xml:space="preserve">Edit the yellow Truck cells (B2:B11) to try other plans; Weight and Miles are looked up from Inputs by formula. Columns G:J are helpers for the load lists on the Cost sheet.</t>
  </si>
  <si>
    <t xml:space="preserve">Inputs — carrier load/truck data (source: task statement; blue = hard-coded input)</t>
  </si>
  <si>
    <t xml:space="preserve">Load table</t>
  </si>
  <si>
    <t xml:space="preserve">Load ID</t>
  </si>
  <si>
    <t xml:space="preserve">Weight (lb)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</si>
  <si>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</si>
  <si>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</si>
  <si>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</si>
  <si>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</si>
  <si>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</si>
  <si>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</si>
  <si>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</si>
  <si>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</si>
  <si>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</si>
  <si>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</si>
  <si>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Truck table</t>
  </si>
  <si>
    <t xml:space="preserve">Capacity (lb)</t>
  </si>
  <si>
    <t xml:space="preserve">Mileage limit</t>
  </si>
  <si>
    <t xml:space="preserve">Fixed $/day</t>
  </si>
  <si>
    <t xml:space="preserve">Rate $/mile</t>
  </si>
  <si>
    <t xml:space="preserve">Loads count</t>
  </si>
  <si>
    <t xml:space="preserve">Used</t>
  </si>
  <si>
    <t xml:space="preserve">Weight OK</t>
  </si>
  <si>
    <t xml:space="preserve">Miles OK</t>
  </si>
  <si>
    <t xml:space="preserve">Fixed</t>
  </si>
  <si>
    <t xml:space="preserve">Variable</t>
  </si>
  <si>
    <t xml:space="preserve">Truck cost</t>
  </si>
  <si>
    <t xml:space="preserve">Loads</t>
  </si>
  <si>
    <t xml:space="preserve">Total</t>
  </si>
  <si>
    <t xml:space="preserve">TOTAL COST</t>
  </si>
  <si>
    <t xml:space="preserve">Checks</t>
  </si>
  <si>
    <t xml:space="preserve">Loads assigned (COUNTA of assignments = 10)</t>
  </si>
  <si>
    <t xml:space="preserve">Assignments with a valid truck letter</t>
  </si>
  <si>
    <t xml:space="preserve">Sum of per-truck load counts (each load exactly once)</t>
  </si>
  <si>
    <t xml:space="preserve">Total weight assigned = total weight of loads</t>
  </si>
  <si>
    <t xml:space="preserve">Weight limits, all trucks</t>
  </si>
  <si>
    <t xml:space="preserve">Mileage limits, all trucks</t>
  </si>
  <si>
    <t xml:space="preserve">ALL CHECKS</t>
  </si>
  <si>
    <t xml:space="preserve">Total cost equals solver optimum (Optimality!B5)</t>
  </si>
  <si>
    <t xml:space="preserve">Optimality evidence — SOLVER OUTPUT (hard-coded text/values from solution.json; not recomputed by this workbook)</t>
  </si>
  <si>
    <t xml:space="preserve">Method</t>
  </si>
  <si>
    <t xml:space="preserve">Exhaustive enumeration of all 4^10 = 1,048,576 assignments; no pruning</t>
  </si>
  <si>
    <t xml:space="preserve">Feasible assignments (weight &amp; mileage OK)</t>
  </si>
  <si>
    <t xml:space="preserve">Optimal cost (solver)</t>
  </si>
  <si>
    <t xml:space="preserve">Number of optimal assignments</t>
  </si>
  <si>
    <t xml:space="preserve">Next-best distinct cost (solver)</t>
  </si>
  <si>
    <t xml:space="preserve">Assignments at next-best cost</t>
  </si>
  <si>
    <t xml:space="preserve">Margin to next-best (formula)</t>
  </si>
  <si>
    <t xml:space="preserve">Workbook total cost (formula)</t>
  </si>
  <si>
    <t xml:space="preserve">Workbook total = solver optimum?</t>
  </si>
  <si>
    <t xml:space="preserve">Distinct cost levels (solver top 5)</t>
  </si>
  <si>
    <t xml:space="preserve">Cost</t>
  </si>
  <si>
    <t xml:space="preserve">Assignments</t>
  </si>
  <si>
    <t xml:space="preserve">All four trucks are needed (inputs-based formulas)</t>
  </si>
  <si>
    <t xml:space="preserve">Total load weight (lb)</t>
  </si>
  <si>
    <t xml:space="preserve">Three largest capacities (lb)</t>
  </si>
  <si>
    <t xml:space="preserve">Three trucks enough?</t>
  </si>
  <si>
    <t xml:space="preserve">Fixed cost of all four trucks</t>
  </si>
  <si>
    <t xml:space="preserve">Solver notes (text)</t>
  </si>
  <si>
    <t xml:space="preserve">Total load weight 138,000 lb &gt; 120,000 lb (three largest capacities), so every feasible plan uses all four trucks; fixed cost is therefore always $1,475.00 and only variable cost is optimised.</t>
  </si>
  <si>
    <t xml:space="preserve">Trucks A and B are identical, so the 2 optimal assignments are a mirror pair (A and B load sets swapped); C = {L4, L6, L8}, D = {L3} in both. Up to the A/B swap the optimum is unique.</t>
  </si>
  <si>
    <t xml:space="preserve">Optimal plan: A = L1, L2, L9; B = L5, L7, L10; C = L4, L6, L8; D = L3. Source: solution.json (exact Fraction arithmetic).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</si>
</sst>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10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 t="str">
        <f aca="false">Inputs!A19</f>
        <v>A</v>
      </c>
      <c r="H1" s="2" t="str">
        <f aca="false">Inputs!A20</f>
        <v>B</v>
      </c>
      <c r="I1" s="2" t="str">
        <f aca="false">Inputs!A21</f>
        <v>C</v>
      </c>
      <c r="J1" s="2" t="str">
        <f aca="false">Inputs!A22</f>
        <v>D</v>
      </c>
    </row>
    <row r="2" customFormat="false" ht="15" hidden="false" customHeight="false" outlineLevel="0" collapsed="false">
      <c r="A2" s="3" t="str">
        <f aca="false">Inputs!A5</f>
        <v>L1</v>
      </c>
      <c r="B2" s="4" t="s">
        <v>5</v>
      </c>
      <c r="C2" s="5" t="n">
        <f aca="false">INDEX(Inputs!$B$5:$B$14,MATCH($A2,Inputs!$A$5:$A$14,0))</f>
        <v>18000</v>
      </c>
      <c r="D2" s="5" t="n">
        <f aca="false">INDEX(Inputs!$C$5:$C$14,MATCH($A2,Inputs!$A$5:$A$14,0))</f>
        <v>220</v>
      </c>
      <c r="G2" s="3" t="str">
        <f aca="false">IF($B2=G$1,", "&amp;$A2,"")</f>
        <v>, L1</v>
      </c>
      <c r="H2" s="3" t="str">
        <f aca="false">IF($B2=H$1,", "&amp;$A2,"")</f>
        <v/>
      </c>
      <c r="I2" s="3" t="str">
        <f aca="false">IF($B2=I$1,", "&amp;$A2,"")</f>
        <v/>
      </c>
      <c r="J2" s="3" t="str">
        <f aca="false">IF($B2=J$1,", "&amp;$A2,"")</f>
        <v/>
      </c>
    </row>
    <row r="3" customFormat="false" ht="15" hidden="false" customHeight="false" outlineLevel="0" collapsed="false">
      <c r="A3" s="3" t="str">
        <f aca="false">Inputs!A6</f>
        <v>L2</v>
      </c>
      <c r="B3" s="4" t="s">
        <v>5</v>
      </c>
      <c r="C3" s="5" t="n">
        <f aca="false">INDEX(Inputs!$B$5:$B$14,MATCH($A3,Inputs!$A$5:$A$14,0))</f>
        <v>12500</v>
      </c>
      <c r="D3" s="5" t="n">
        <f aca="false">INDEX(Inputs!$C$5:$C$14,MATCH($A3,Inputs!$A$5:$A$14,0))</f>
        <v>340</v>
      </c>
      <c r="G3" s="3" t="str">
        <f aca="false">IF($B3=G$1,", "&amp;$A3,"")</f>
        <v>, L2</v>
      </c>
      <c r="H3" s="3" t="str">
        <f aca="false">IF($B3=H$1,", "&amp;$A3,"")</f>
        <v/>
      </c>
      <c r="I3" s="3" t="str">
        <f aca="false">IF($B3=I$1,", "&amp;$A3,"")</f>
        <v/>
      </c>
      <c r="J3" s="3" t="str">
        <f aca="false">IF($B3=J$1,", "&amp;$A3,"")</f>
        <v/>
      </c>
    </row>
    <row r="4" customFormat="false" ht="15" hidden="false" customHeight="false" outlineLevel="0" collapsed="false">
      <c r="A4" s="3" t="str">
        <f aca="false">Inputs!A7</f>
        <v>L3</v>
      </c>
      <c r="B4" s="4" t="s">
        <v>6</v>
      </c>
      <c r="C4" s="5" t="n">
        <f aca="false">INDEX(Inputs!$B$5:$B$14,MATCH($A4,Inputs!$A$5:$A$14,0))</f>
        <v>22000</v>
      </c>
      <c r="D4" s="5" t="n">
        <f aca="false">INDEX(Inputs!$C$5:$C$14,MATCH($A4,Inputs!$A$5:$A$14,0))</f>
        <v>150</v>
      </c>
      <c r="G4" s="3" t="str">
        <f aca="false">IF($B4=G$1,", "&amp;$A4,"")</f>
        <v/>
      </c>
      <c r="H4" s="3" t="str">
        <f aca="false">IF($B4=H$1,", "&amp;$A4,"")</f>
        <v/>
      </c>
      <c r="I4" s="3" t="str">
        <f aca="false">IF($B4=I$1,", "&amp;$A4,"")</f>
        <v/>
      </c>
      <c r="J4" s="3" t="str">
        <f aca="false">IF($B4=J$1,", "&amp;$A4,"")</f>
        <v>, L3</v>
      </c>
    </row>
    <row r="5" customFormat="false" ht="15" hidden="false" customHeight="false" outlineLevel="0" collapsed="false">
      <c r="A5" s="3" t="str">
        <f aca="false">Inputs!A8</f>
        <v>L4</v>
      </c>
      <c r="B5" s="4" t="s">
        <v>7</v>
      </c>
      <c r="C5" s="5" t="n">
        <f aca="false">INDEX(Inputs!$B$5:$B$14,MATCH($A5,Inputs!$A$5:$A$14,0))</f>
        <v>9000</v>
      </c>
      <c r="D5" s="5" t="n">
        <f aca="false">INDEX(Inputs!$C$5:$C$14,MATCH($A5,Inputs!$A$5:$A$14,0))</f>
        <v>410</v>
      </c>
      <c r="G5" s="3" t="str">
        <f aca="false">IF($B5=G$1,", "&amp;$A5,"")</f>
        <v/>
      </c>
      <c r="H5" s="3" t="str">
        <f aca="false">IF($B5=H$1,", "&amp;$A5,"")</f>
        <v/>
      </c>
      <c r="I5" s="3" t="str">
        <f aca="false">IF($B5=I$1,", "&amp;$A5,"")</f>
        <v>, L4</v>
      </c>
      <c r="J5" s="3" t="str">
        <f aca="false">IF($B5=J$1,", "&amp;$A5,"")</f>
        <v/>
      </c>
    </row>
    <row r="6" customFormat="false" ht="15" hidden="false" customHeight="false" outlineLevel="0" collapsed="false">
      <c r="A6" s="3" t="str">
        <f aca="false">Inputs!A9</f>
        <v>L5</v>
      </c>
      <c r="B6" s="4" t="s">
        <v>8</v>
      </c>
      <c r="C6" s="5" t="n">
        <f aca="false">INDEX(Inputs!$B$5:$B$14,MATCH($A6,Inputs!$A$5:$A$14,0))</f>
        <v>15500</v>
      </c>
      <c r="D6" s="5" t="n">
        <f aca="false">INDEX(Inputs!$C$5:$C$14,MATCH($A6,Inputs!$A$5:$A$14,0))</f>
        <v>95</v>
      </c>
      <c r="G6" s="3" t="str">
        <f aca="false">IF($B6=G$1,", "&amp;$A6,"")</f>
        <v/>
      </c>
      <c r="H6" s="3" t="str">
        <f aca="false">IF($B6=H$1,", "&amp;$A6,"")</f>
        <v>, L5</v>
      </c>
      <c r="I6" s="3" t="str">
        <f aca="false">IF($B6=I$1,", "&amp;$A6,"")</f>
        <v/>
      </c>
      <c r="J6" s="3" t="str">
        <f aca="false">IF($B6=J$1,", "&amp;$A6,"")</f>
        <v/>
      </c>
    </row>
    <row r="7" customFormat="false" ht="15" hidden="false" customHeight="false" outlineLevel="0" collapsed="false">
      <c r="A7" s="3" t="str">
        <f aca="false">Inputs!A10</f>
        <v>L6</v>
      </c>
      <c r="B7" s="4" t="s">
        <v>7</v>
      </c>
      <c r="C7" s="5" t="n">
        <f aca="false">INDEX(Inputs!$B$5:$B$14,MATCH($A7,Inputs!$A$5:$A$14,0))</f>
        <v>7000</v>
      </c>
      <c r="D7" s="5" t="n">
        <f aca="false">INDEX(Inputs!$C$5:$C$14,MATCH($A7,Inputs!$A$5:$A$14,0))</f>
        <v>280</v>
      </c>
      <c r="G7" s="3" t="str">
        <f aca="false">IF($B7=G$1,", "&amp;$A7,"")</f>
        <v/>
      </c>
      <c r="H7" s="3" t="str">
        <f aca="false">IF($B7=H$1,", "&amp;$A7,"")</f>
        <v/>
      </c>
      <c r="I7" s="3" t="str">
        <f aca="false">IF($B7=I$1,", "&amp;$A7,"")</f>
        <v>, L6</v>
      </c>
      <c r="J7" s="3" t="str">
        <f aca="false">IF($B7=J$1,", "&amp;$A7,"")</f>
        <v/>
      </c>
    </row>
    <row r="8" customFormat="false" ht="15" hidden="false" customHeight="false" outlineLevel="0" collapsed="false">
      <c r="A8" s="3" t="str">
        <f aca="false">Inputs!A11</f>
        <v>L7</v>
      </c>
      <c r="B8" s="4" t="s">
        <v>8</v>
      </c>
      <c r="C8" s="5" t="n">
        <f aca="false">INDEX(Inputs!$B$5:$B$14,MATCH($A8,Inputs!$A$5:$A$14,0))</f>
        <v>20500</v>
      </c>
      <c r="D8" s="5" t="n">
        <f aca="false">INDEX(Inputs!$C$5:$C$14,MATCH($A8,Inputs!$A$5:$A$14,0))</f>
        <v>190</v>
      </c>
      <c r="G8" s="3" t="str">
        <f aca="false">IF($B8=G$1,", "&amp;$A8,"")</f>
        <v/>
      </c>
      <c r="H8" s="3" t="str">
        <f aca="false">IF($B8=H$1,", "&amp;$A8,"")</f>
        <v>, L7</v>
      </c>
      <c r="I8" s="3" t="str">
        <f aca="false">IF($B8=I$1,", "&amp;$A8,"")</f>
        <v/>
      </c>
      <c r="J8" s="3" t="str">
        <f aca="false">IF($B8=J$1,", "&amp;$A8,"")</f>
        <v/>
      </c>
    </row>
    <row r="9" customFormat="false" ht="15" hidden="false" customHeight="false" outlineLevel="0" collapsed="false">
      <c r="A9" s="3" t="str">
        <f aca="false">Inputs!A12</f>
        <v>L8</v>
      </c>
      <c r="B9" s="4" t="s">
        <v>7</v>
      </c>
      <c r="C9" s="5" t="n">
        <f aca="false">INDEX(Inputs!$B$5:$B$14,MATCH($A9,Inputs!$A$5:$A$14,0))</f>
        <v>11000</v>
      </c>
      <c r="D9" s="5" t="n">
        <f aca="false">INDEX(Inputs!$C$5:$C$14,MATCH($A9,Inputs!$A$5:$A$14,0))</f>
        <v>365</v>
      </c>
      <c r="G9" s="3" t="str">
        <f aca="false">IF($B9=G$1,", "&amp;$A9,"")</f>
        <v/>
      </c>
      <c r="H9" s="3" t="str">
        <f aca="false">IF($B9=H$1,", "&amp;$A9,"")</f>
        <v/>
      </c>
      <c r="I9" s="3" t="str">
        <f aca="false">IF($B9=I$1,", "&amp;$A9,"")</f>
        <v>, L8</v>
      </c>
      <c r="J9" s="3" t="str">
        <f aca="false">IF($B9=J$1,", "&amp;$A9,"")</f>
        <v/>
      </c>
    </row>
    <row r="10" customFormat="false" ht="15" hidden="false" customHeight="false" outlineLevel="0" collapsed="false">
      <c r="A10" s="3" t="str">
        <f aca="false">Inputs!A13</f>
        <v>L9</v>
      </c>
      <c r="B10" s="4" t="s">
        <v>5</v>
      </c>
      <c r="C10" s="5" t="n">
        <f aca="false">INDEX(Inputs!$B$5:$B$14,MATCH($A10,Inputs!$A$5:$A$14,0))</f>
        <v>14000</v>
      </c>
      <c r="D10" s="5" t="n">
        <f aca="false">INDEX(Inputs!$C$5:$C$14,MATCH($A10,Inputs!$A$5:$A$14,0))</f>
        <v>120</v>
      </c>
      <c r="G10" s="3" t="str">
        <f aca="false">IF($B10=G$1,", "&amp;$A10,"")</f>
        <v>, L9</v>
      </c>
      <c r="H10" s="3" t="str">
        <f aca="false">IF($B10=H$1,", "&amp;$A10,"")</f>
        <v/>
      </c>
      <c r="I10" s="3" t="str">
        <f aca="false">IF($B10=I$1,", "&amp;$A10,"")</f>
        <v/>
      </c>
      <c r="J10" s="3" t="str">
        <f aca="false">IF($B10=J$1,", "&amp;$A10,"")</f>
        <v/>
      </c>
    </row>
    <row r="11" customFormat="false" ht="15" hidden="false" customHeight="false" outlineLevel="0" collapsed="false">
      <c r="A11" s="3" t="str">
        <f aca="false">Inputs!A14</f>
        <v>L10</v>
      </c>
      <c r="B11" s="4" t="s">
        <v>8</v>
      </c>
      <c r="C11" s="5" t="n">
        <f aca="false">INDEX(Inputs!$B$5:$B$14,MATCH($A11,Inputs!$A$5:$A$14,0))</f>
        <v>8500</v>
      </c>
      <c r="D11" s="5" t="n">
        <f aca="false">INDEX(Inputs!$C$5:$C$14,MATCH($A11,Inputs!$A$5:$A$14,0))</f>
        <v>255</v>
      </c>
      <c r="G11" s="3" t="str">
        <f aca="false">IF($B11=G$1,", "&amp;$A11,"")</f>
        <v/>
      </c>
      <c r="H11" s="3" t="str">
        <f aca="false">IF($B11=H$1,", "&amp;$A11,"")</f>
        <v>, L10</v>
      </c>
      <c r="I11" s="3" t="str">
        <f aca="false">IF($B11=I$1,", "&amp;$A11,"")</f>
        <v/>
      </c>
      <c r="J11" s="3" t="str">
        <f aca="false">IF($B11=J$1,", "&amp;$A11,"")</f>
        <v/>
      </c>
    </row>
    <row r="13" customFormat="false" ht="15" hidden="false" customHeight="false" outlineLevel="0" collapsed="false">
      <c r="A13" s="6" t="s">
        <v>9</v>
      </c>
    </row>
  </sheetData>
  <dataValidations count="1">
    <dataValidation allowBlank="false" errorStyle="stop" operator="between" showDropDown="false" showErrorMessage="false" showInputMessage="false" sqref="B2:B1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7" t="s">
        <v>10</v>
      </c>
    </row>
    <row r="3" customFormat="false" ht="15" hidden="false" customHeight="false" outlineLevel="0" collapsed="false">
      <c r="A3" s="8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3</v>
      </c>
    </row>
    <row r="5" customFormat="false" ht="15" hidden="false" customHeight="false" outlineLevel="0" collapsed="false">
      <c r="A5" s="9" t="s">
        <v>14</v>
      </c>
      <c r="B5" s="10" t="n">
        <v>18000</v>
      </c>
      <c r="C5" s="10" t="n">
        <v>220</v>
      </c>
    </row>
    <row r="6" customFormat="false" ht="15" hidden="false" customHeight="false" outlineLevel="0" collapsed="false">
      <c r="A6" s="9" t="s">
        <v>15</v>
      </c>
      <c r="B6" s="10" t="n">
        <v>12500</v>
      </c>
      <c r="C6" s="10" t="n">
        <v>340</v>
      </c>
    </row>
    <row r="7" customFormat="false" ht="15" hidden="false" customHeight="false" outlineLevel="0" collapsed="false">
      <c r="A7" s="9" t="s">
        <v>16</v>
      </c>
      <c r="B7" s="10" t="n">
        <v>22000</v>
      </c>
      <c r="C7" s="10" t="n">
        <v>150</v>
      </c>
    </row>
    <row r="8" customFormat="false" ht="15" hidden="false" customHeight="false" outlineLevel="0" collapsed="false">
      <c r="A8" s="9" t="s">
        <v>17</v>
      </c>
      <c r="B8" s="10" t="n">
        <v>9000</v>
      </c>
      <c r="C8" s="10" t="n">
        <v>410</v>
      </c>
    </row>
    <row r="9" customFormat="false" ht="15" hidden="false" customHeight="false" outlineLevel="0" collapsed="false">
      <c r="A9" s="9" t="s">
        <v>18</v>
      </c>
      <c r="B9" s="10" t="n">
        <v>15500</v>
      </c>
      <c r="C9" s="10" t="n">
        <v>95</v>
      </c>
    </row>
    <row r="10" customFormat="false" ht="15" hidden="false" customHeight="false" outlineLevel="0" collapsed="false">
      <c r="A10" s="9" t="s">
        <v>19</v>
      </c>
      <c r="B10" s="10" t="n">
        <v>7000</v>
      </c>
      <c r="C10" s="10" t="n">
        <v>280</v>
      </c>
    </row>
    <row r="11" customFormat="false" ht="15" hidden="false" customHeight="false" outlineLevel="0" collapsed="false">
      <c r="A11" s="9" t="s">
        <v>20</v>
      </c>
      <c r="B11" s="10" t="n">
        <v>20500</v>
      </c>
      <c r="C11" s="10" t="n">
        <v>190</v>
      </c>
    </row>
    <row r="12" customFormat="false" ht="15" hidden="false" customHeight="false" outlineLevel="0" collapsed="false">
      <c r="A12" s="9" t="s">
        <v>21</v>
      </c>
      <c r="B12" s="10" t="n">
        <v>11000</v>
      </c>
      <c r="C12" s="10" t="n">
        <v>365</v>
      </c>
    </row>
    <row r="13" customFormat="false" ht="15" hidden="false" customHeight="false" outlineLevel="0" collapsed="false">
      <c r="A13" s="9" t="s">
        <v>22</v>
      </c>
      <c r="B13" s="10" t="n">
        <v>14000</v>
      </c>
      <c r="C13" s="10" t="n">
        <v>120</v>
      </c>
    </row>
    <row r="14" customFormat="false" ht="15" hidden="false" customHeight="false" outlineLevel="0" collapsed="false">
      <c r="A14" s="9" t="s">
        <v>23</v>
      </c>
      <c r="B14" s="10" t="n">
        <v>8500</v>
      </c>
      <c r="C14" s="10" t="n">
        <v>255</v>
      </c>
    </row>
    <row r="17" customFormat="false" ht="15" hidden="false" customHeight="false" outlineLevel="0" collapsed="false">
      <c r="A17" s="8" t="s">
        <v>24</v>
      </c>
    </row>
    <row r="18" customFormat="false" ht="15" hidden="false" customHeight="false" outlineLevel="0" collapsed="false">
      <c r="A18" s="11" t="s">
        <v>1</v>
      </c>
      <c r="B18" s="11" t="s">
        <v>25</v>
      </c>
      <c r="C18" s="11" t="s">
        <v>26</v>
      </c>
      <c r="D18" s="11" t="s">
        <v>27</v>
      </c>
      <c r="E18" s="11" t="s">
        <v>28</v>
      </c>
    </row>
    <row r="19" customFormat="false" ht="15" hidden="false" customHeight="false" outlineLevel="0" collapsed="false">
      <c r="A19" s="9" t="s">
        <v>5</v>
      </c>
      <c r="B19" s="10" t="n">
        <v>45000</v>
      </c>
      <c r="C19" s="10" t="n">
        <v>1100</v>
      </c>
      <c r="D19" s="12" t="n">
        <v>350</v>
      </c>
      <c r="E19" s="12" t="n">
        <v>2.1</v>
      </c>
    </row>
    <row r="20" customFormat="false" ht="15" hidden="false" customHeight="false" outlineLevel="0" collapsed="false">
      <c r="A20" s="9" t="s">
        <v>8</v>
      </c>
      <c r="B20" s="10" t="n">
        <v>45000</v>
      </c>
      <c r="C20" s="10" t="n">
        <v>1100</v>
      </c>
      <c r="D20" s="12" t="n">
        <v>350</v>
      </c>
      <c r="E20" s="12" t="n">
        <v>2.1</v>
      </c>
    </row>
    <row r="21" customFormat="false" ht="15" hidden="false" customHeight="false" outlineLevel="0" collapsed="false">
      <c r="A21" s="9" t="s">
        <v>7</v>
      </c>
      <c r="B21" s="10" t="n">
        <v>30000</v>
      </c>
      <c r="C21" s="10" t="n">
        <v>1100</v>
      </c>
      <c r="D21" s="12" t="n">
        <v>500</v>
      </c>
      <c r="E21" s="12" t="n">
        <v>1.85</v>
      </c>
    </row>
    <row r="22" customFormat="false" ht="15" hidden="false" customHeight="false" outlineLevel="0" collapsed="false">
      <c r="A22" s="9" t="s">
        <v>6</v>
      </c>
      <c r="B22" s="10" t="n">
        <v>26000</v>
      </c>
      <c r="C22" s="10" t="n">
        <v>900</v>
      </c>
      <c r="D22" s="12" t="n">
        <v>275</v>
      </c>
      <c r="E22" s="12" t="n">
        <v>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customFormat="false" ht="15" hidden="false" customHeight="false" outlineLevel="0" collapsed="false">
      <c r="A2" s="13" t="str">
        <f aca="false">Inputs!A19</f>
        <v>A</v>
      </c>
      <c r="B2" s="14" t="n">
        <f aca="false">SUMIF(Assignment!$B$2:$B$11,$A2,Assignment!$C$2:$C$11)</f>
        <v>44500</v>
      </c>
      <c r="C2" s="14" t="n">
        <f aca="false">SUMIF(Assignment!$B$2:$B$11,$A2,Assignment!$D$2:$D$11)</f>
        <v>680</v>
      </c>
      <c r="D2" s="14" t="n">
        <f aca="false">COUNTIF(Assignment!$B$2:$B$11,$A2)</f>
        <v>3</v>
      </c>
      <c r="E2" s="13" t="str">
        <f aca="false">IF(D2&gt;0,"Yes","No")</f>
        <v>Yes</v>
      </c>
      <c r="F2" s="13" t="str">
        <f aca="false">IF(B2&lt;=Inputs!B19,"OK","OVER")</f>
        <v>OK</v>
      </c>
      <c r="G2" s="13" t="str">
        <f aca="false">IF(C2&lt;=Inputs!C19,"OK","OVER")</f>
        <v>OK</v>
      </c>
      <c r="H2" s="15" t="n">
        <f aca="false">IF(E2="Yes",Inputs!D19,0)</f>
        <v>350</v>
      </c>
      <c r="I2" s="15" t="n">
        <f aca="false">Inputs!E19*C2</f>
        <v>1428</v>
      </c>
      <c r="J2" s="15" t="n">
        <f aca="false">H2+I2</f>
        <v>1778</v>
      </c>
      <c r="K2" s="13" t="str">
        <f aca="false">MID(Assignment!G2&amp;Assignment!G3&amp;Assignment!G4&amp;Assignment!G5&amp;Assignment!G6&amp;Assignment!G7&amp;Assignment!G8&amp;Assignment!G9&amp;Assignment!G10&amp;Assignment!G11,3,200)</f>
        <v>L1, L2, L9</v>
      </c>
    </row>
    <row r="3" customFormat="false" ht="15" hidden="false" customHeight="false" outlineLevel="0" collapsed="false">
      <c r="A3" s="13" t="str">
        <f aca="false">Inputs!A20</f>
        <v>B</v>
      </c>
      <c r="B3" s="14" t="n">
        <f aca="false">SUMIF(Assignment!$B$2:$B$11,$A3,Assignment!$C$2:$C$11)</f>
        <v>44500</v>
      </c>
      <c r="C3" s="14" t="n">
        <f aca="false">SUMIF(Assignment!$B$2:$B$11,$A3,Assignment!$D$2:$D$11)</f>
        <v>540</v>
      </c>
      <c r="D3" s="14" t="n">
        <f aca="false">COUNTIF(Assignment!$B$2:$B$11,$A3)</f>
        <v>3</v>
      </c>
      <c r="E3" s="13" t="str">
        <f aca="false">IF(D3&gt;0,"Yes","No")</f>
        <v>Yes</v>
      </c>
      <c r="F3" s="13" t="str">
        <f aca="false">IF(B3&lt;=Inputs!B20,"OK","OVER")</f>
        <v>OK</v>
      </c>
      <c r="G3" s="13" t="str">
        <f aca="false">IF(C3&lt;=Inputs!C20,"OK","OVER")</f>
        <v>OK</v>
      </c>
      <c r="H3" s="15" t="n">
        <f aca="false">IF(E3="Yes",Inputs!D20,0)</f>
        <v>350</v>
      </c>
      <c r="I3" s="15" t="n">
        <f aca="false">Inputs!E20*C3</f>
        <v>1134</v>
      </c>
      <c r="J3" s="15" t="n">
        <f aca="false">H3+I3</f>
        <v>1484</v>
      </c>
      <c r="K3" s="13" t="str">
        <f aca="false">MID(Assignment!H2&amp;Assignment!H3&amp;Assignment!H4&amp;Assignment!H5&amp;Assignment!H6&amp;Assignment!H7&amp;Assignment!H8&amp;Assignment!H9&amp;Assignment!H10&amp;Assignment!H11,3,200)</f>
        <v>L5, L7, L10</v>
      </c>
    </row>
    <row r="4" customFormat="false" ht="15" hidden="false" customHeight="false" outlineLevel="0" collapsed="false">
      <c r="A4" s="13" t="str">
        <f aca="false">Inputs!A21</f>
        <v>C</v>
      </c>
      <c r="B4" s="14" t="n">
        <f aca="false">SUMIF(Assignment!$B$2:$B$11,$A4,Assignment!$C$2:$C$11)</f>
        <v>27000</v>
      </c>
      <c r="C4" s="14" t="n">
        <f aca="false">SUMIF(Assignment!$B$2:$B$11,$A4,Assignment!$D$2:$D$11)</f>
        <v>1055</v>
      </c>
      <c r="D4" s="14" t="n">
        <f aca="false">COUNTIF(Assignment!$B$2:$B$11,$A4)</f>
        <v>3</v>
      </c>
      <c r="E4" s="13" t="str">
        <f aca="false">IF(D4&gt;0,"Yes","No")</f>
        <v>Yes</v>
      </c>
      <c r="F4" s="13" t="str">
        <f aca="false">IF(B4&lt;=Inputs!B21,"OK","OVER")</f>
        <v>OK</v>
      </c>
      <c r="G4" s="13" t="str">
        <f aca="false">IF(C4&lt;=Inputs!C21,"OK","OVER")</f>
        <v>OK</v>
      </c>
      <c r="H4" s="15" t="n">
        <f aca="false">IF(E4="Yes",Inputs!D21,0)</f>
        <v>500</v>
      </c>
      <c r="I4" s="15" t="n">
        <f aca="false">Inputs!E21*C4</f>
        <v>1951.75</v>
      </c>
      <c r="J4" s="15" t="n">
        <f aca="false">H4+I4</f>
        <v>2451.75</v>
      </c>
      <c r="K4" s="13" t="str">
        <f aca="false">MID(Assignment!I2&amp;Assignment!I3&amp;Assignment!I4&amp;Assignment!I5&amp;Assignment!I6&amp;Assignment!I7&amp;Assignment!I8&amp;Assignment!I9&amp;Assignment!I10&amp;Assignment!I11,3,200)</f>
        <v>L4, L6, L8</v>
      </c>
    </row>
    <row r="5" customFormat="false" ht="15" hidden="false" customHeight="false" outlineLevel="0" collapsed="false">
      <c r="A5" s="13" t="str">
        <f aca="false">Inputs!A22</f>
        <v>D</v>
      </c>
      <c r="B5" s="14" t="n">
        <f aca="false">SUMIF(Assignment!$B$2:$B$11,$A5,Assignment!$C$2:$C$11)</f>
        <v>22000</v>
      </c>
      <c r="C5" s="14" t="n">
        <f aca="false">SUMIF(Assignment!$B$2:$B$11,$A5,Assignment!$D$2:$D$11)</f>
        <v>150</v>
      </c>
      <c r="D5" s="14" t="n">
        <f aca="false">COUNTIF(Assignment!$B$2:$B$11,$A5)</f>
        <v>1</v>
      </c>
      <c r="E5" s="13" t="str">
        <f aca="false">IF(D5&gt;0,"Yes","No")</f>
        <v>Yes</v>
      </c>
      <c r="F5" s="13" t="str">
        <f aca="false">IF(B5&lt;=Inputs!B22,"OK","OVER")</f>
        <v>OK</v>
      </c>
      <c r="G5" s="13" t="str">
        <f aca="false">IF(C5&lt;=Inputs!C22,"OK","OVER")</f>
        <v>OK</v>
      </c>
      <c r="H5" s="15" t="n">
        <f aca="false">IF(E5="Yes",Inputs!D22,0)</f>
        <v>275</v>
      </c>
      <c r="I5" s="15" t="n">
        <f aca="false">Inputs!E22*C5</f>
        <v>367.5</v>
      </c>
      <c r="J5" s="15" t="n">
        <f aca="false">H5+I5</f>
        <v>642.5</v>
      </c>
      <c r="K5" s="13" t="str">
        <f aca="false">MID(Assignment!J2&amp;Assignment!J3&amp;Assignment!J4&amp;Assignment!J5&amp;Assignment!J6&amp;Assignment!J7&amp;Assignment!J8&amp;Assignment!J9&amp;Assignment!J10&amp;Assignment!J11,3,200)</f>
        <v>L3</v>
      </c>
    </row>
    <row r="6" customFormat="false" ht="15" hidden="false" customHeight="false" outlineLevel="0" collapsed="false">
      <c r="A6" s="8" t="s">
        <v>37</v>
      </c>
      <c r="B6" s="16" t="n">
        <f aca="false">SUM(B2:B5)</f>
        <v>138000</v>
      </c>
      <c r="C6" s="16" t="n">
        <f aca="false">SUM(C2:C5)</f>
        <v>2425</v>
      </c>
      <c r="D6" s="16" t="n">
        <f aca="false">SUM(D2:D5)</f>
        <v>10</v>
      </c>
      <c r="E6" s="8"/>
      <c r="F6" s="8" t="str">
        <f aca="false">IF(COUNTIF(F2:F5,"OK")=4,"OK","CHECK")</f>
        <v>OK</v>
      </c>
      <c r="G6" s="8" t="str">
        <f aca="false">IF(COUNTIF(G2:G5,"OK")=4,"OK","CHECK")</f>
        <v>OK</v>
      </c>
      <c r="H6" s="17" t="n">
        <f aca="false">SUM(H2:H5)</f>
        <v>1475</v>
      </c>
      <c r="I6" s="17" t="n">
        <f aca="false">SUM(I2:I5)</f>
        <v>4881.25</v>
      </c>
      <c r="J6" s="17" t="n">
        <f aca="false">SUM(J2:J5)</f>
        <v>6356.25</v>
      </c>
      <c r="K6" s="8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7" t="s">
        <v>38</v>
      </c>
      <c r="B8" s="18" t="n">
        <f aca="false">J6</f>
        <v>6356.25</v>
      </c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8" t="s">
        <v>39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 t="s">
        <v>40</v>
      </c>
      <c r="B11" s="13" t="n">
        <f aca="false">COUNTA(Assignment!B2:B11)</f>
        <v>10</v>
      </c>
      <c r="C11" s="13" t="str">
        <f aca="false">IF(B11=COUNTA(Inputs!A5:A14),"OK","CHECK")</f>
        <v>OK</v>
      </c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 t="s">
        <v>41</v>
      </c>
      <c r="B12" s="13" t="n">
        <f aca="false">SUMPRODUCT(COUNTIF(Inputs!A19:A22,Assignment!B2:B11))</f>
        <v>10</v>
      </c>
      <c r="C12" s="13" t="str">
        <f aca="false">IF(B12=COUNTA(Inputs!A5:A14),"OK","CHECK")</f>
        <v>OK</v>
      </c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 t="s">
        <v>42</v>
      </c>
      <c r="B13" s="14" t="n">
        <f aca="false">D6</f>
        <v>10</v>
      </c>
      <c r="C13" s="13" t="str">
        <f aca="false">IF(B13=COUNTA(Inputs!A5:A14),"OK","CHECK")</f>
        <v>OK</v>
      </c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 t="s">
        <v>43</v>
      </c>
      <c r="B14" s="14" t="n">
        <f aca="false">B6</f>
        <v>138000</v>
      </c>
      <c r="C14" s="13" t="str">
        <f aca="false">IF(B14=SUM(Inputs!B5:B14),"OK","CHECK")</f>
        <v>OK</v>
      </c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 t="s">
        <v>44</v>
      </c>
      <c r="B15" s="13" t="n">
        <f aca="false">COUNTIF(F2:F5,"OK")</f>
        <v>4</v>
      </c>
      <c r="C15" s="13" t="str">
        <f aca="false">IF(B15=4,"OK","CHECK")</f>
        <v>OK</v>
      </c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 t="s">
        <v>45</v>
      </c>
      <c r="B16" s="13" t="n">
        <f aca="false">COUNTIF(G2:G5,"OK")</f>
        <v>4</v>
      </c>
      <c r="C16" s="13" t="str">
        <f aca="false">IF(B16=4,"OK","CHECK")</f>
        <v>OK</v>
      </c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8" t="s">
        <v>46</v>
      </c>
      <c r="B17" s="13"/>
      <c r="C17" s="8" t="str">
        <f aca="false">IF(COUNTIF(C11:C16,"OK")=6,"OK","CHECK")</f>
        <v>OK</v>
      </c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 t="s">
        <v>47</v>
      </c>
      <c r="B18" s="13"/>
      <c r="C18" s="13" t="str">
        <f aca="false">IF(ABS(B8-Optimality!B5)&lt;0.005,"OK","DIFFERS")</f>
        <v>OK</v>
      </c>
      <c r="D18" s="13"/>
      <c r="E18" s="13"/>
      <c r="F18" s="13"/>
      <c r="G18" s="13"/>
      <c r="H18" s="13"/>
      <c r="I18" s="13"/>
      <c r="J18" s="13"/>
      <c r="K1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8"/>
  </cols>
  <sheetData>
    <row r="1" customFormat="false" ht="15" hidden="false" customHeight="false" outlineLevel="0" collapsed="false">
      <c r="A1" s="7" t="s">
        <v>48</v>
      </c>
    </row>
    <row r="3" customFormat="false" ht="23.85" hidden="false" customHeight="false" outlineLevel="0" collapsed="false">
      <c r="A3" s="8" t="s">
        <v>49</v>
      </c>
      <c r="B3" s="19" t="s">
        <v>50</v>
      </c>
    </row>
    <row r="4" customFormat="false" ht="15" hidden="false" customHeight="false" outlineLevel="0" collapsed="false">
      <c r="A4" s="8" t="s">
        <v>51</v>
      </c>
      <c r="B4" s="10" t="n">
        <v>452</v>
      </c>
    </row>
    <row r="5" customFormat="false" ht="15" hidden="false" customHeight="false" outlineLevel="0" collapsed="false">
      <c r="A5" s="8" t="s">
        <v>52</v>
      </c>
      <c r="B5" s="12" t="n">
        <v>6356.25</v>
      </c>
    </row>
    <row r="6" customFormat="false" ht="15" hidden="false" customHeight="false" outlineLevel="0" collapsed="false">
      <c r="A6" s="8" t="s">
        <v>53</v>
      </c>
      <c r="B6" s="9" t="n">
        <v>2</v>
      </c>
    </row>
    <row r="7" customFormat="false" ht="15" hidden="false" customHeight="false" outlineLevel="0" collapsed="false">
      <c r="A7" s="8" t="s">
        <v>54</v>
      </c>
      <c r="B7" s="12" t="n">
        <v>6362.5</v>
      </c>
    </row>
    <row r="8" customFormat="false" ht="15" hidden="false" customHeight="false" outlineLevel="0" collapsed="false">
      <c r="A8" s="8" t="s">
        <v>55</v>
      </c>
      <c r="B8" s="9" t="n">
        <v>6</v>
      </c>
    </row>
    <row r="9" customFormat="false" ht="15" hidden="false" customHeight="false" outlineLevel="0" collapsed="false">
      <c r="A9" s="8" t="s">
        <v>56</v>
      </c>
      <c r="B9" s="20" t="n">
        <f aca="false">B7-B5</f>
        <v>6.25</v>
      </c>
    </row>
    <row r="10" customFormat="false" ht="15" hidden="false" customHeight="false" outlineLevel="0" collapsed="false">
      <c r="A10" s="8" t="s">
        <v>57</v>
      </c>
      <c r="B10" s="20" t="n">
        <f aca="false">Cost!B8</f>
        <v>6356.25</v>
      </c>
    </row>
    <row r="11" customFormat="false" ht="15" hidden="false" customHeight="false" outlineLevel="0" collapsed="false">
      <c r="A11" s="8" t="s">
        <v>58</v>
      </c>
      <c r="B11" s="3" t="str">
        <f aca="false">IF(ABS(B10-B5)&lt;0.005,"OK","DIFFERS")</f>
        <v>OK</v>
      </c>
    </row>
    <row r="13" customFormat="false" ht="15" hidden="false" customHeight="false" outlineLevel="0" collapsed="false">
      <c r="A13" s="8" t="s">
        <v>59</v>
      </c>
    </row>
    <row r="14" customFormat="false" ht="15" hidden="false" customHeight="false" outlineLevel="0" collapsed="false">
      <c r="A14" s="21" t="s">
        <v>60</v>
      </c>
      <c r="B14" s="21" t="s">
        <v>61</v>
      </c>
    </row>
    <row r="15" customFormat="false" ht="15" hidden="false" customHeight="false" outlineLevel="0" collapsed="false">
      <c r="A15" s="12" t="n">
        <v>6356.25</v>
      </c>
      <c r="B15" s="9" t="n">
        <v>2</v>
      </c>
    </row>
    <row r="16" customFormat="false" ht="15" hidden="false" customHeight="false" outlineLevel="0" collapsed="false">
      <c r="A16" s="12" t="n">
        <v>6362.5</v>
      </c>
      <c r="B16" s="9" t="n">
        <v>6</v>
      </c>
    </row>
    <row r="17" customFormat="false" ht="15" hidden="false" customHeight="false" outlineLevel="0" collapsed="false">
      <c r="A17" s="12" t="n">
        <v>6368.75</v>
      </c>
      <c r="B17" s="9" t="n">
        <v>4</v>
      </c>
    </row>
    <row r="18" customFormat="false" ht="15" hidden="false" customHeight="false" outlineLevel="0" collapsed="false">
      <c r="A18" s="12" t="n">
        <v>6376.5</v>
      </c>
      <c r="B18" s="9" t="n">
        <v>4</v>
      </c>
    </row>
    <row r="19" customFormat="false" ht="15" hidden="false" customHeight="false" outlineLevel="0" collapsed="false">
      <c r="A19" s="12" t="n">
        <v>6382.75</v>
      </c>
      <c r="B19" s="9" t="n">
        <v>4</v>
      </c>
    </row>
    <row r="21" customFormat="false" ht="15" hidden="false" customHeight="false" outlineLevel="0" collapsed="false">
      <c r="A21" s="8" t="s">
        <v>62</v>
      </c>
    </row>
    <row r="22" customFormat="false" ht="15" hidden="false" customHeight="false" outlineLevel="0" collapsed="false">
      <c r="A22" s="3" t="s">
        <v>63</v>
      </c>
      <c r="B22" s="5" t="n">
        <f aca="false">SUM(Inputs!B5:B14)</f>
        <v>138000</v>
      </c>
    </row>
    <row r="23" customFormat="false" ht="15" hidden="false" customHeight="false" outlineLevel="0" collapsed="false">
      <c r="A23" s="3" t="s">
        <v>64</v>
      </c>
      <c r="B23" s="5" t="n">
        <f aca="false">LARGE(Inputs!B19:B22,1)+LARGE(Inputs!B19:B22,2)+LARGE(Inputs!B19:B22,3)</f>
        <v>120000</v>
      </c>
    </row>
    <row r="24" customFormat="false" ht="15" hidden="false" customHeight="false" outlineLevel="0" collapsed="false">
      <c r="A24" s="3" t="s">
        <v>65</v>
      </c>
      <c r="B24" s="3" t="str">
        <f aca="false">IF(B23&gt;=B22,"Yes","No – all 4 trucks required")</f>
        <v>No – all 4 trucks required</v>
      </c>
    </row>
    <row r="25" customFormat="false" ht="15" hidden="false" customHeight="false" outlineLevel="0" collapsed="false">
      <c r="A25" s="3" t="s">
        <v>66</v>
      </c>
      <c r="B25" s="20" t="n">
        <f aca="false">SUM(Inputs!D19:D22)</f>
        <v>1475</v>
      </c>
    </row>
    <row r="27" customFormat="false" ht="15" hidden="false" customHeight="false" outlineLevel="0" collapsed="false">
      <c r="A27" s="8" t="s">
        <v>67</v>
      </c>
    </row>
    <row r="28" customFormat="false" ht="45" hidden="false" customHeight="true" outlineLevel="0" collapsed="false">
      <c r="A28" s="22" t="s">
        <v>68</v>
      </c>
      <c r="B28" s="22"/>
    </row>
    <row r="29" customFormat="false" ht="45" hidden="false" customHeight="true" outlineLevel="0" collapsed="false">
      <c r="A29" s="22" t="s">
        <v>69</v>
      </c>
      <c r="B29" s="22"/>
    </row>
    <row r="30" customFormat="false" ht="45" hidden="false" customHeight="true" outlineLevel="0" collapsed="false">
      <c r="A30" s="22" t="s">
        <v>70</v>
      </c>
      <c r="B30" s="22"/>
    </row>
  </sheetData>
  <mergeCells count="3"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2026-10-23T00:40:33Z</dcterms:created>
  <dc:creator>openpyxl</dc:creator>
  <dc:description/>
  <dc:language>en-US</dc:language>
  <cp:lastModifiedBy/>
  <dcterms:modified xsi:type="dcterms:W3CDTF">2026-10-23T00:40:33Z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