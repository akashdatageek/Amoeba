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Pl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Load ID</t>
        </is>
      </c>
      <c r="B1" s="1" t="inlineStr">
        <is>
          <t>Weight (lb)</t>
        </is>
      </c>
      <c r="C1" s="1" t="inlineStr">
        <is>
          <t>Miles</t>
        </is>
      </c>
      <c r="E1" s="1" t="inlineStr">
        <is>
          <t>Truck ID</t>
        </is>
      </c>
      <c r="F1" s="1" t="inlineStr">
        <is>
          <t>Capacity (lb)</t>
        </is>
      </c>
      <c r="G1" s="1" t="inlineStr">
        <is>
          <t>Limit (mi)</t>
        </is>
      </c>
      <c r="H1" s="1" t="inlineStr">
        <is>
          <t>Fixed Cost ($)</t>
        </is>
      </c>
      <c r="I1" s="1" t="inlineStr">
        <is>
          <t>Rate ($/mi)</t>
        </is>
      </c>
      <c r="K1" s="2" t="inlineStr">
        <is>
          <t>Truck</t>
        </is>
      </c>
      <c r="L1" s="2" t="inlineStr">
        <is>
          <t>Assigned Loads</t>
        </is>
      </c>
      <c r="M1" s="2" t="inlineStr">
        <is>
          <t>Total Weight (lb)</t>
        </is>
      </c>
      <c r="N1" s="2" t="inlineStr">
        <is>
          <t>Total Miles</t>
        </is>
      </c>
      <c r="O1" s="2" t="inlineStr">
        <is>
          <t>Cost ($)</t>
        </is>
      </c>
    </row>
    <row r="2">
      <c r="A2" s="1" t="inlineStr">
        <is>
          <t>L1</t>
        </is>
      </c>
      <c r="B2" s="1" t="n">
        <v>18000</v>
      </c>
      <c r="C2" s="1" t="n">
        <v>220</v>
      </c>
      <c r="E2" s="1" t="inlineStr">
        <is>
          <t>A</t>
        </is>
      </c>
      <c r="F2" s="1" t="n">
        <v>45000</v>
      </c>
      <c r="G2" s="1" t="n">
        <v>1100</v>
      </c>
      <c r="H2" s="1" t="n">
        <v>350</v>
      </c>
      <c r="I2" s="1" t="n">
        <v>2.1</v>
      </c>
      <c r="K2" s="1" t="inlineStr">
        <is>
          <t>A</t>
        </is>
      </c>
      <c r="L2" s="1" t="inlineStr">
        <is>
          <t>L1, L2, L9</t>
        </is>
      </c>
      <c r="M2" s="1">
        <f>B2+B3+B10</f>
        <v/>
      </c>
      <c r="N2" s="1">
        <f>C2+C3+C10</f>
        <v/>
      </c>
      <c r="O2" s="1">
        <f>H2+(N2*I2)</f>
        <v/>
      </c>
    </row>
    <row r="3">
      <c r="A3" s="1" t="inlineStr">
        <is>
          <t>L2</t>
        </is>
      </c>
      <c r="B3" s="1" t="n">
        <v>12500</v>
      </c>
      <c r="C3" s="1" t="n">
        <v>340</v>
      </c>
      <c r="E3" s="1" t="inlineStr">
        <is>
          <t>B</t>
        </is>
      </c>
      <c r="F3" s="1" t="n">
        <v>45000</v>
      </c>
      <c r="G3" s="1" t="n">
        <v>1100</v>
      </c>
      <c r="H3" s="1" t="n">
        <v>350</v>
      </c>
      <c r="I3" s="1" t="n">
        <v>2.1</v>
      </c>
      <c r="K3" s="1" t="inlineStr">
        <is>
          <t>B</t>
        </is>
      </c>
      <c r="L3" s="1" t="inlineStr">
        <is>
          <t>L5, L7, L10</t>
        </is>
      </c>
      <c r="M3" s="1">
        <f>B6+B8+B11</f>
        <v/>
      </c>
      <c r="N3" s="1">
        <f>C6+C8+C11</f>
        <v/>
      </c>
      <c r="O3" s="1">
        <f>H3+(N3*I3)</f>
        <v/>
      </c>
    </row>
    <row r="4">
      <c r="A4" s="1" t="inlineStr">
        <is>
          <t>L3</t>
        </is>
      </c>
      <c r="B4" s="1" t="n">
        <v>22000</v>
      </c>
      <c r="C4" s="1" t="n">
        <v>150</v>
      </c>
      <c r="E4" s="1" t="inlineStr">
        <is>
          <t>C</t>
        </is>
      </c>
      <c r="F4" s="1" t="n">
        <v>30000</v>
      </c>
      <c r="G4" s="1" t="n">
        <v>1100</v>
      </c>
      <c r="H4" s="1" t="n">
        <v>500</v>
      </c>
      <c r="I4" s="1" t="n">
        <v>1.85</v>
      </c>
      <c r="K4" s="1" t="inlineStr">
        <is>
          <t>C</t>
        </is>
      </c>
      <c r="L4" s="1" t="inlineStr">
        <is>
          <t>L4, L6, L8</t>
        </is>
      </c>
      <c r="M4" s="1">
        <f>B5+B7+B9</f>
        <v/>
      </c>
      <c r="N4" s="1">
        <f>C5+C7+C9</f>
        <v/>
      </c>
      <c r="O4" s="1">
        <f>H4+(N4*I4)</f>
        <v/>
      </c>
    </row>
    <row r="5">
      <c r="A5" s="1" t="inlineStr">
        <is>
          <t>L4</t>
        </is>
      </c>
      <c r="B5" s="1" t="n">
        <v>9000</v>
      </c>
      <c r="C5" s="1" t="n">
        <v>410</v>
      </c>
      <c r="E5" s="1" t="inlineStr">
        <is>
          <t>D</t>
        </is>
      </c>
      <c r="F5" s="1" t="n">
        <v>26000</v>
      </c>
      <c r="G5" s="1" t="n">
        <v>900</v>
      </c>
      <c r="H5" s="1" t="n">
        <v>275</v>
      </c>
      <c r="I5" s="1" t="n">
        <v>2.45</v>
      </c>
      <c r="K5" s="1" t="inlineStr">
        <is>
          <t>D</t>
        </is>
      </c>
      <c r="L5" s="1" t="inlineStr">
        <is>
          <t>L3</t>
        </is>
      </c>
      <c r="M5" s="1">
        <f>B4</f>
        <v/>
      </c>
      <c r="N5" s="1">
        <f>C4</f>
        <v/>
      </c>
      <c r="O5" s="1">
        <f>H5+(N5*I5)</f>
        <v/>
      </c>
    </row>
    <row r="6">
      <c r="A6" s="1" t="inlineStr">
        <is>
          <t>L5</t>
        </is>
      </c>
      <c r="B6" s="1" t="n">
        <v>15500</v>
      </c>
      <c r="C6" s="1" t="n">
        <v>95</v>
      </c>
      <c r="N6" s="1" t="inlineStr">
        <is>
          <t>Total Cost:</t>
        </is>
      </c>
      <c r="O6" s="1">
        <f>SUM(O2:O5)</f>
        <v/>
      </c>
    </row>
    <row r="7">
      <c r="A7" s="1" t="inlineStr">
        <is>
          <t>L6</t>
        </is>
      </c>
      <c r="B7" s="1" t="n">
        <v>7000</v>
      </c>
      <c r="C7" s="1" t="n">
        <v>280</v>
      </c>
    </row>
    <row r="8">
      <c r="A8" s="1" t="inlineStr">
        <is>
          <t>L7</t>
        </is>
      </c>
      <c r="B8" s="1" t="n">
        <v>20500</v>
      </c>
      <c r="C8" s="1" t="n">
        <v>190</v>
      </c>
    </row>
    <row r="9">
      <c r="A9" s="1" t="inlineStr">
        <is>
          <t>L8</t>
        </is>
      </c>
      <c r="B9" s="1" t="n">
        <v>11000</v>
      </c>
      <c r="C9" s="1" t="n">
        <v>365</v>
      </c>
    </row>
    <row r="10">
      <c r="A10" s="1" t="inlineStr">
        <is>
          <t>L9</t>
        </is>
      </c>
      <c r="B10" s="1" t="n">
        <v>14000</v>
      </c>
      <c r="C10" s="1" t="n">
        <v>120</v>
      </c>
    </row>
    <row r="11">
      <c r="A11" s="1" t="inlineStr">
        <is>
          <t>L10</t>
        </is>
      </c>
      <c r="B11" s="1" t="n">
        <v>8500</v>
      </c>
      <c r="C11" s="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2026-10-06T21:10:13Z</dcterms:created>
  <dcterms:modified xmlns:dcterms="http://purl.org/dc/terms/" xmlns:xsi="http://www.w3.org/2001/XMLSchema-instance" xsi:type="dcterms:W3CDTF">2026-10-06T21:10:13Z</dcterms:modified>
</cp:coreProperties>
</file>